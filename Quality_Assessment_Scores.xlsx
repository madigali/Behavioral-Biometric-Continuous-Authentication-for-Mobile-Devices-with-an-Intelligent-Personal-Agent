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 Scor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<sst xmlns="http://schemas.openxmlformats.org/spreadsheetml/2006/main" count="259" uniqueCount="108">
  <si>
    <t xml:space="preserve">Ref #</t>
  </si>
  <si>
    <t xml:space="preserve">Study (APA citation)</t>
  </si>
  <si>
    <t xml:space="preserve">Type of Research</t>
  </si>
  <si>
    <t xml:space="preserve">Category</t>
  </si>
  <si>
    <t xml:space="preserve">C1: Clarity of Objective (0-2)</t>
  </si>
  <si>
    <t xml:space="preserve">C2: Empirical/System Grounding (0-2)</t>
  </si>
  <si>
    <t xml:space="preserve">C3: Performance Metrics Reported (0-2)</t>
  </si>
  <si>
    <t xml:space="preserve">C4: Methodological Description (0-2)</t>
  </si>
  <si>
    <t xml:space="preserve">C5: Referencing &amp; Contextualisation (0-2)</t>
  </si>
  <si>
    <t xml:space="preserve">Total (2-10)</t>
  </si>
  <si>
    <t xml:space="preserve">Quality Tier</t>
  </si>
  <si>
    <t xml:space="preserve">Gatekeeping Pass (C1&gt;=1 AND C2&gt;=1)</t>
  </si>
  <si>
    <t xml:space="preserve">Skalkos, A., Stylios, I., Karyda, M., &amp; Kokolakis, S. (2021). Users' Privacy Attitudes towards the Use of Behavioral Biometrics Continuous Authentication (BBCA) Technologies: A Protection Motivation Theory Approach. Journal of Cybersecurity and Privacy, 1(4), 743–766. https://doi.org/10.3390/jcp1040036</t>
  </si>
  <si>
    <t xml:space="preserve">Quantitative</t>
  </si>
  <si>
    <t xml:space="preserve">Empirical</t>
  </si>
  <si>
    <t xml:space="preserve">Hasan, S. S. U., et al. (2025). [Sensors, Jan 2025, p. 700]. Sensors. https://doi.org/10.3390/s25030700</t>
  </si>
  <si>
    <t xml:space="preserve">Experimental</t>
  </si>
  <si>
    <t xml:space="preserve">Abuhamad, M., et al. (2020). Sensor-based Continuous Authentication of Smartphones' Users Using Behavioral  Biometrics: A Contemporary Survey. IEEE Internet of Things Journal. https://arxiv.org/pdf/2001.08578</t>
  </si>
  <si>
    <t xml:space="preserve">Systematic Review</t>
  </si>
  <si>
    <t xml:space="preserve">Review</t>
  </si>
  <si>
    <t xml:space="preserve">Ayeswarya, S., &amp; John Singh, K. (2024). A Comprehensive Review on Secure Biometric-Based Continuous Authentication and User Profiling. IEEE Access. https://doi.org/10.1109/ACCESS.2024.3411783</t>
  </si>
  <si>
    <t xml:space="preserve">de Barcelos Silva, A., Gomes, M. M., da Costa, C. A., et al. (2020). Intelligent Personal Assistants: A Systematic Literature Review. Expert Systems With Applications. https://doi.org/10.1016/j.eswa.2020.113193</t>
  </si>
  <si>
    <t xml:space="preserve">Systematic Literature Review</t>
  </si>
  <si>
    <t xml:space="preserve">Abdel Hakeem, S. A., Hussein, H. H., &amp; Kim, H. (2022). [Sensors, Mar 2022, p. 1969]. Sensors. https://doi.org/10.3390/s22051969</t>
  </si>
  <si>
    <t xml:space="preserve">Alqahtani, F., Al-Makhadmeh, Z., Tolba, A., &amp; Said, O. (2020). TBM: A trust-based monitoring security scheme to improve the service authentication in the Internet of Things communications. Computer Communications, 150, 216–225. https://doi.org/10.1016/j.comcom.2019.11.030</t>
  </si>
  <si>
    <t xml:space="preserve">Applied research</t>
  </si>
  <si>
    <t xml:space="preserve">Deebak, B. D., &amp; Hwang, S. O. (2023). Federated learning-based lightweight two-factor authentication framework with privacy preservation for mobile sink in the social IoMT. Electronics, 12(5), 1250. https://doi.org/10.3390/electronics12051250</t>
  </si>
  <si>
    <t xml:space="preserve">Ağca, M. A., Faye, S., &amp; Khadraoui, D. (2023). Trusted Distributed Artificial Intelligence (TDAI). IEEE Access, 11, 113307–113324. https://doi.org/10.1109/ACCESS.2023.3322568</t>
  </si>
  <si>
    <t xml:space="preserve">Theoretical / Applied research</t>
  </si>
  <si>
    <t xml:space="preserve">Hirschprung, R. S., &amp; Alkoby, S. (2022). A Game Theory Approach for Assisting Humans in Online Information-Sharing. Information, 13(4), 183. https://doi.org/10.3390/info13040183</t>
  </si>
  <si>
    <t xml:space="preserve">Theoretical / Experimental</t>
  </si>
  <si>
    <t xml:space="preserve">Mekruksavanich, S., &amp; Jitpattanakul, A. (2021). Deep Learning Approaches for Continuous Authentication Based on Activity Patterns Using Mobile Sensing. Sensors. https://doi.org/10.3390/s21227519</t>
  </si>
  <si>
    <t xml:space="preserve">Verma, A., Moghaddam, V., &amp; Anwar, A. (2022). Data-Driven Behavioural Biometrics for Continuous and Adaptive User Verification Using Smartphone and Smartwatch. Sustainability, 14(12), 7362. https://doi.org/10.3390/su14127362</t>
  </si>
  <si>
    <t xml:space="preserve">Stragapede, G., et al. (2023). Mobile Keystroke Biometrics Using Transformers. IEEE FG 2023. https://doi.org/10.1109/FG57933.2023.10042710</t>
  </si>
  <si>
    <t xml:space="preserve">Baig, A. F., &amp; Eskeland, S. (2021). Security, Privacy, and Usability in Continuous Authentication: A Survey. Sensors. https://doi.org/10.3390/s21175967</t>
  </si>
  <si>
    <t xml:space="preserve">Rocha, R., Carneiro, D., &amp; Novais, P. (2020). Continuous authentication with a focus on explainability. https://doi.org/10.1016/j.neucom.2020.02.122</t>
  </si>
  <si>
    <t xml:space="preserve">Michailidis, E. T., &amp; Vouyioukas, D. (2022). A Review on Software-Based and Hardware-Based Authentication Mechanisms for the Internet of Drones. Drones, 6(2), 41. https://doi.org/10.3390/drones6020041</t>
  </si>
  <si>
    <t xml:space="preserve">Fan, M., Zhang, Z., Li, Z., Sun, G., Yu, H., &amp; Guizani, M. (2023). Blockchain-based Decentralized and Lightweight Anonymous Authentication for Federated Learning. IEEE Transactions on Vehicular Technology, 72(8). https://doi.org/10.1109/TVT.2023.3265366</t>
  </si>
  <si>
    <t xml:space="preserve">Wang, C., Wang, Y., Chen, Y., et al. (2020). User Authentication on Mobile Devices: Approaches, Threats and Trends. Computer Networks, 170, 107118. https://doi.org/10.1016/j.comnet.2020.107118</t>
  </si>
  <si>
    <t xml:space="preserve">Gupta, C., et al. (2022). A Systematic Review on Machine Learning and Deep Learning Models for Electronic Information Security in Mobile Networks. Sensors, 22(5), 2017. https://doi.org/10.3390/s22052017</t>
  </si>
  <si>
    <t xml:space="preserve">Acien, A., et al. (2021). TypeNet: Deep Learning Keystroke Biometrics. IEEE Transactions on Biometrics, Behavior, and Identity Science.https://doi.org/10.48550/arXiv.2101.05570</t>
  </si>
  <si>
    <t xml:space="preserve">Li, G., &amp; Sato, H. (2022). Sensing In-Air Signature Motions Using Smartwatch: A High-Precision Approach of Behavioral Authentication. IEEE Access. https://doi.org/10.1109/ACCESS.2022.3177905</t>
  </si>
  <si>
    <t xml:space="preserve">Zhao, J., et al. (2023). [Electronics, Apr 2023, p. 1812]. Electronics. https://doi.org/10.3390/electronics12081812</t>
  </si>
  <si>
    <t xml:space="preserve">Tapia, J. E., Gonzalez, S., &amp; Busch, C. (2022). Iris Liveness Detection Using a Cascade of Dedicated Deep Learning Networks. IEEE Transactions on Information Forensics and Security, 17, 42–52. https://doi.org/10.1109/TIFS.2021.3132582</t>
  </si>
  <si>
    <t xml:space="preserve">Hernández Sánchez, S., Fernández Pozo, R., &amp; Hernández Gómez, L. A. (2020).Driver Identification and Verification From Smartphone Accelerometers Using Deep Neural Networks. [IEEE Transactions on Intelligent Transportation Systems, Jul 2020]. https://doi.org/10.1109/TITS.2020.3008210</t>
  </si>
  <si>
    <t xml:space="preserve">Roy, S., et al. (2022). A Systematic Literature Review on Latest Keystroke Dynamics Based Models. IEEE Access, 10, 92192–92236. https://doi.org/10.1109/ACCESS.2022.3197756</t>
  </si>
  <si>
    <t xml:space="preserve">Khairnar, S., et al. (2023). [Big Data and Cognitive Computing, Feb 2023, p. 37]. Big Data Cogn. Comput. https://doi.org/10.3390/bdcc7010037</t>
  </si>
  <si>
    <t xml:space="preserve">Khan, Z. F., &amp; Alotaibi, S. R. (2020). Design and Implementation of a Computerized User Authentication System for E-Learning. International Journal of Emerging Technologies in Learning, 15(09), 4–18. https://doi.org/10.3991/ijet.v15i09.12387</t>
  </si>
  <si>
    <t xml:space="preserve">Kollu, V. N., Janarthanan, V., Karupusamy, M., &amp; Ramachandran, M. (2023). Cloud-Based Smart Contract Analysis in FinTech Using IoT-Integrated Federated Learning in Intrusion Detection. Data, 8(5), 83. https://doi.org/10.3390/data8050083</t>
  </si>
  <si>
    <t xml:space="preserve">Şahin, D. Ö., Akleylek, S., &amp; Kılıç, E. (2022). LinRegDroid: Detection of Android Malware Using Multiple Linear Regression Models-Based Classifiers. IEEE Access, 10, 14246–14259. https://doi.org/10.1109/ACCESS.2022.3146363</t>
  </si>
  <si>
    <t xml:space="preserve">Wang, C., Li, Z., &amp; Sarpong, B. (2021). Multimodal Adaptive Identity-Recognition Algorithm Fused with Gait Perception. Big Data Mining and Analytics, 4(4), 223–232. https://doi.org/10.26599/BDMA.2021.9020006</t>
  </si>
  <si>
    <t xml:space="preserve">de-Marcos, L., et al. (2021). Comparing Machine Learning Classifiers for Continuous Authentication on Mobile Devices by Keystroke Dynamics. Electronics, 10(14), 1622. https://doi.org/10.3390/electronics10141622</t>
  </si>
  <si>
    <t xml:space="preserve">Stylios, I., et al. (2021). Behavioral biometrics &amp; continuous user authentication on mobile devices: A survey. Information Fusion, 66, 76–99. https://doi.org/10.1016/j.inffus.2020.08.021</t>
  </si>
  <si>
    <t xml:space="preserve">Ellavarason, E., et al. (2020). Touch-dynamics based Behavioural Biometrics on Mobile Devices – A Review from a Usability and Performance Perspective. ACM Computing Surveys. https://doi.org/10.1145/3394713</t>
  </si>
  <si>
    <t xml:space="preserve">Bakkar, M., &amp; Alazab, A. (2019). Designing Security Intelligent Agent for Petrol Theft Prevention. 2019 Cybersecurity and Cyberforensics Conference (CCC). https://doi.org/10.1109/CCC.2019.00006</t>
  </si>
  <si>
    <t xml:space="preserve">Deng, Z., et al. (2025). AI Agents Under Threat: A Survey of Key Security Challenges and Future Pathways. ACM Computing Surveys, 57(7), 182. https://doi.org/10.1145/3716628</t>
  </si>
  <si>
    <t xml:space="preserve">Kokal, S., Vanamala, M., &amp; Dave, R. (2023). Deep Learning and Machine Learning, Better Together Than Apart: A Review on Biometrics Mobile Authentication. Journal of Cybersecurity and Privacy, 3(2), 227–258. https://doi.org/10.3390/jcp3020013</t>
  </si>
  <si>
    <t xml:space="preserve">Pryor, L., Dave, R., Seliya, J., &amp; Boone, E. S. (2021). Machine Learning Algorithms in User Authentication Schemes. ICECET 2021. https://doi.org/10.1109/ICECET52533.2021.9698440</t>
  </si>
  <si>
    <t xml:space="preserve">Kamble, M. R., Sailor, H. B., Patil, H. A., &amp; Li, H. (2020). Advances in anti-spoofing: From the perspective of ASVspoof challenges. APSIPA Transactions on Signal and Information Processing, 9, e2. https://doi.org/10.1017/ATSIP.2019.21</t>
  </si>
  <si>
    <t xml:space="preserve">Ray-Dowling, A., Hou, D., &amp; Schuckers, S. C. (2023). Stationary mobile behavioral biometrics: A survey. Computers and Security, 128, 103184. https://doi.org/10.1016/j.cose.2023.103184</t>
  </si>
  <si>
    <t xml:space="preserve">Buriro, A., et al. (2021). [Journal of Signal Processing Systems]. https://doi.org/10.1007/s11265-021-01654-2</t>
  </si>
  <si>
    <t xml:space="preserve">Klein, I. (2019). Smartphone Location Recognition: A Deep Learning-Based Approach. Sensors. https://doi.org/10.3390/s20010214</t>
  </si>
  <si>
    <t xml:space="preserve">Kececi, A., et al. (2020). Implementation of Machine Learning Algorithms for Gait Recognition. Engineering Science and Technology, an International Journal. https://doi.org/10.1016/j.jestch.2020.01.005</t>
  </si>
  <si>
    <t xml:space="preserve">Wang, Y., Zhang, X., &amp; Hu, H. (2023). Continuous User Authentication on Multiple Smart Devices. Information, 14(5), 274. https://doi.org/10.3390/info14050274</t>
  </si>
  <si>
    <t xml:space="preserve">Huang, H., Zhou, P., Li, Y., &amp; Sun, F. (2021). A Lightweight Attention-Based CNN Model for Efficient Gait Recognition with Wearable IMU Sensors. Sensors, 21(8), 2866. https://doi.org/10.3390/s21082866</t>
  </si>
  <si>
    <t xml:space="preserve">Mekruksavanich, S., &amp; Jitpattanakul, A. (2021). Biometric User Identification Based on Human Activity Recognition Using Wearable Sensors. Electronics, 10(3), 308. https://doi.org/10.3390/electronics10030308</t>
  </si>
  <si>
    <t xml:space="preserve">Zou, Q., et al. (2020). Deep Learning-Based Gait Recognition Using Smartphones in the Wild. IEEE Transactions on Information Forensics and Security, 15, 3197–3212. https://doi.org/10.1109/TIFS.2020.2985628</t>
  </si>
  <si>
    <t xml:space="preserve">De Marsico, M., &amp; Palermo, A. (2024). User Gait Biometrics in Smart Ambient Applications through Wearable Accelerometer Signals. Journal of Ambient Intelligence and Humanized Computing, 15, 2967–2979. https://doi.org/10.1007/s12652-024-04790-2</t>
  </si>
  <si>
    <t xml:space="preserve">Bonfim Estrela, P. M. A., et al. (2021). A Framework for Continuous Authentication Based on Touch Dynamics Biometrics for Mobile Banking Applications. Sensors, 21(12). https://doi.org/10.3390/s21124212</t>
  </si>
  <si>
    <t xml:space="preserve">Yu, C., et al. (2024). A Survey on Agent Workflow – Status and Future. https://doi.org/10.48550/arXiv.2508.01186</t>
  </si>
  <si>
    <t xml:space="preserve">Ryu, R., et al. (2023). The Design and Evaluation of Adaptive Biometric Authentication Systems: Current Status, Challenges and Future Direction. ICT Express, 9, 1183–1197. https://doi.org/10.1016/j.icte.2023.04.003</t>
  </si>
  <si>
    <t xml:space="preserve">Qashlan, A., Nanda, P., He, X., &amp; Mohanty, M. (2021). Privacy-Preserving Mechanism in Smart Home Using Blockchain. IEEE Access. https://doi.org/10.1109/ACCESS.2021.3098795</t>
  </si>
  <si>
    <t xml:space="preserve">Kumar, S., et al. (2022). [Sensors, Jul 2022, p. 5160]. Sensors. https://doi.org/10.3390/s22145160</t>
  </si>
  <si>
    <t xml:space="preserve">Kokal, S. G., Pryor, L. K., &amp; Dave, R. (2022). Exploration of Machine Learning Classification Models Used for Behavioral Biometrics Authentication. ICSCA 2022. https://doi.org/10.1145/3543712.3543732</t>
  </si>
  <si>
    <t xml:space="preserve">Shen, Z., et al. (2022). MMAuth: A Continuous Authentication Framework on Smartphones Using Multiple Modalities. IEEE Transactions on Information Forensics and Security, 17, 1450–1465. https://doi.org/10.1109/TIFS.2022.3160361</t>
  </si>
  <si>
    <t xml:space="preserve">Li, W., et al. (2020). [Journal of Network and Computer Applications, May 2020]. https://doi.org/10.1016/j.jnca.2020.102687</t>
  </si>
  <si>
    <t xml:space="preserve">Kim, J., &amp; Kang, P. (2020). Freely Typed Keystroke Dynamics-Based User Authentication for Mobile Devices Based on Heterogeneous Features. Pattern Recognition, 108, 107556. https://doi.org/10.1016/j.patcog.2020.107556</t>
  </si>
  <si>
    <t xml:space="preserve">Huang, A., et al. (2020). High Security User Authentication Enabled by Piezoelectric Keystroke Dynamics and Machine Learning. IEEE Sensors Journal. https://doi.org/10.1109/JSEN.2020.3001382</t>
  </si>
  <si>
    <t xml:space="preserve">Gomez-Alanis, A., Gonzalez-Lopez, J. A., &amp; Peinado, A. M. (2020). A Kernel Density Estimation Based Loss Function and Its Application to ASV-Spoofing Detection. IEEE Access, 8, 108530–108543. https://doi.org/10.1109/ACCESS.2020.3000641</t>
  </si>
  <si>
    <t xml:space="preserve">Uliyan, D. M., Sadeghi, S., &amp; Jalab, H. A. (2020). Anti-Spoofing Method for Fingerprint Recognition Using Patch Based Deep Learning Machine. Engineering Science and Technology. https://doi.org/10.1016/j.jestch.2019.06.005</t>
  </si>
  <si>
    <t xml:space="preserve">Ntizikira, E., et al. (2023). Secure and Privacy-Preserving Intrusion Detection and Prevention in the Internet of Unmanned Aerial Vehicles. Sensors, 23(19), 8077. https://doi.org/10.3390/s23198077</t>
  </si>
  <si>
    <t xml:space="preserve">Rizk, H., &amp; Elmogy, A. (2025). Self-Supervised WiFi-Based Identity Recognition in Multi-User Smart Environments. Sensors, 25(10), 3108. https://doi.org/10.3390/s25103108</t>
  </si>
  <si>
    <t xml:space="preserve">Jalaly Bidgoly, A., Jalaly Bidgoly, H., &amp; Arezoumand, Z. (2020). A Survey on Methods and Challenges in EEG Based Authentication. Computers &amp; Security, 93, 101788. https://doi.org/10.1016/j.cose.2020.101788</t>
  </si>
  <si>
    <t xml:space="preserve">Abreha, H. G., Hayajneh, M., &amp; Serhani, M. A. (2022). Federated Learning in Edge Computing: A Systematic Survey. Sensors, 22(2), 450. https://doi.org/10.3390/s22020450</t>
  </si>
  <si>
    <t xml:space="preserve">Li, Z., et al. (2020). Practical Adversarial Attacks Against Speaker Recognition Systems. ACM WiSec 2020. https://doi.org/10.1145/3376897.3377856</t>
  </si>
  <si>
    <t xml:space="preserve">Finnegan, O. L., et al. (2024). The Utility of Behavioral Biometrics in User Authentication and Demographic Characteristic Detection: A Scoping Review. Systematic Reviews, 13, 61. https://doi.org/10.1186/s13643-024-02451-1</t>
  </si>
  <si>
    <t xml:space="preserve">Scoping Review</t>
  </si>
  <si>
    <t xml:space="preserve">Ackerson, J. M., Dave, R., &amp; Seliya, N. (2021). Applications of Recurrent Neural Network for Biometric Authentication &amp; Anomaly Detection. Information, 12(7), 272. https://doi.org/10.3390/info12070272</t>
  </si>
  <si>
    <t xml:space="preserve">Incel, Ö. D., et al. (2021). DAKOTA: Sensor and Touch Screen-Based Continuous Authentication on a Mobile Banking Application. IEEE Access. https://doi.org/10.1109/ACCESS.2021.3063424</t>
  </si>
  <si>
    <t xml:space="preserve">Sun, F., et al. (2020). Gait-based Identification for Elderly Users in Wearable Healthcare Systems. Information Fusion, 53, 134–144. https://doi.org/10.1016/j.inffus.2019.06.023</t>
  </si>
  <si>
    <t xml:space="preserve">Akpanakak, M., Chin, J., &amp; Winckles, A. (2023). Holistic Blockchain Approach to Foster Trust, Privacy and Security in IoT Based Ambient Assisted Living Environment. https://ieeexplore.ieee.org/document/9117697</t>
  </si>
  <si>
    <t xml:space="preserve">Kim, M., et al. (2017). [IEEE Access, 2017]. https://doi.org/10.1109/ACCESS.2017.DoiNumber</t>
  </si>
  <si>
    <t xml:space="preserve">Ikram Ud Din, et al. (2024). Securing the Metaverse: A Blockchain-Enabled Zero-Trust Architecture for Virtual Environments. IEEE Access. https://doi.org/10.1109/ACCESS.2024.3423400</t>
  </si>
  <si>
    <t xml:space="preserve">Awadallah, A., et al. (2025). Artificial Intelligence-Based Cybersecurity for the Metaverse: Research Challenges and Opportunities. IEEE Communications Surveys &amp; Tutorials. https://doi.org/10.1109/COMST.2024.3442475</t>
  </si>
  <si>
    <t xml:space="preserve">Sufi, F. (2023). A New AI-Based Semantic Cyber Intelligence Agent. Future Internet, 15(7), 231. https://doi.org/10.3390/fi15070231</t>
  </si>
  <si>
    <t xml:space="preserve">Alzahrani, S., et al. (2023). Continuous Mobile User Authentication Using a Hybrid CNN-Bi-LSTM Approach. Computers, Materials &amp; Continua. https://doi.org/10.32604/cmc.2023.035173</t>
  </si>
  <si>
    <t xml:space="preserve">Choi, M., Lee, S., Jo, M., &amp; Shin, J. S. (2021). Keystroke Dynamics-Based Authentication Using Unique Keypad. Sensors, 21(6), 2242. https://doi.org/10.3390/s21062242</t>
  </si>
  <si>
    <t xml:space="preserve">Teh, P. S., Zhang, N., Teoh, A. B. J., &amp; Chen, K. (2020). Strengthen User Authentication on Mobile Devices by Using User's Touch Dynamics Pattern. Journal of Ambient Intelligence and Humanized Computing, 11(9), 4019–4039. https://doi.org/10.1007/s12652-019-01654-y</t>
  </si>
  <si>
    <t xml:space="preserve">Fereidooni, H., et al. (2023). AuthentiSense: A Scalable Behavioral Biometrics Authentication Scheme Using Few-Shot Learning for Mobile Platforms. NDSS 2023. https://dx.doi.org/10.14722/ndss.2023.23194</t>
  </si>
  <si>
    <t xml:space="preserve">Ming, Z., Visani, M., Luqman, M. M., &amp; Burie, J.-C. (2020). A Survey on Anti-Spoofing Methods for Facial Recognition with RGB Cameras of Generic Consumer Devices. Journal of Imaging, 6(12), 139. https://doi.org/10.3390/jimaging6120139</t>
  </si>
  <si>
    <t xml:space="preserve">Kim, D. I., Lee, S., &amp; Shin, J. S. (2020). A New Feature Scoring Method in Keystroke Dynamics-Based User Authentications. IEEE Access, 8, 14461–14474. https://doi.org/10.1109/ACCESS.2020.2968918</t>
  </si>
  <si>
    <t xml:space="preserve">Rahman, A., et al. (2024). Internet of Medical Things and Blockchain-Enabled Patient-Centric Agent through SDN for Remote Patient Monitoring in 5G Network. Scientific Reports, 14, 5297. https://doi.org/10.1038/s41598-024-55662-w</t>
  </si>
  <si>
    <t xml:space="preserve">Count</t>
  </si>
  <si>
    <t xml:space="preserve">Percentage</t>
  </si>
  <si>
    <t xml:space="preserve">High (9-10)</t>
  </si>
  <si>
    <t xml:space="preserve">Moderate (6-8)</t>
  </si>
  <si>
    <t xml:space="preserve">Low (2-5)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</si>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</sst>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82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8.65" hidden="false" customHeight="false" outlineLevel="0" collapsed="false">
      <c r="A2" s="2" t="n">
        <v>1</v>
      </c>
      <c r="B2" s="3" t="s">
        <v>12</v>
      </c>
      <c r="C2" s="2" t="s">
        <v>13</v>
      </c>
      <c r="D2" s="2" t="s">
        <v>14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1</v>
      </c>
      <c r="J2" s="2" t="n">
        <f aca="false">SUM(E2:I2)</f>
        <v>9</v>
      </c>
      <c r="K2" s="2" t="str">
        <f aca="false">IF(J2&gt;=9,"High",IF(J2&gt;=6,"Moderate","Low"))</f>
        <v>High</v>
      </c>
      <c r="L2" s="2" t="str">
        <f aca="false">IF(AND(E2&gt;=1,F2&gt;=1),"Pass","FAIL-EXCLUDE")</f>
        <v>Pass</v>
      </c>
    </row>
    <row r="3" customFormat="false" ht="28.35" hidden="false" customHeight="false" outlineLevel="0" collapsed="false">
      <c r="A3" s="2" t="n">
        <v>2</v>
      </c>
      <c r="B3" s="3" t="s">
        <v>15</v>
      </c>
      <c r="C3" s="2" t="s">
        <v>16</v>
      </c>
      <c r="D3" s="2" t="s">
        <v>14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1</v>
      </c>
      <c r="J3" s="2" t="n">
        <f aca="false">SUM(E3:I3)</f>
        <v>9</v>
      </c>
      <c r="K3" s="2" t="str">
        <f aca="false">IF(J3&gt;=9,"High",IF(J3&gt;=6,"Moderate","Low"))</f>
        <v>High</v>
      </c>
      <c r="L3" s="2" t="str">
        <f aca="false">IF(AND(E3&gt;=1,F3&gt;=1),"Pass","FAIL-EXCLUDE")</f>
        <v>Pass</v>
      </c>
    </row>
    <row r="4" customFormat="false" ht="55.2" hidden="false" customHeight="false" outlineLevel="0" collapsed="false">
      <c r="A4" s="2" t="n">
        <v>3</v>
      </c>
      <c r="B4" s="3" t="s">
        <v>17</v>
      </c>
      <c r="C4" s="2" t="s">
        <v>18</v>
      </c>
      <c r="D4" s="2" t="s">
        <v>19</v>
      </c>
      <c r="E4" s="2" t="n">
        <v>2</v>
      </c>
      <c r="F4" s="2" t="n">
        <v>1</v>
      </c>
      <c r="G4" s="2" t="n">
        <v>0</v>
      </c>
      <c r="H4" s="2" t="n">
        <v>1</v>
      </c>
      <c r="I4" s="2" t="n">
        <v>2</v>
      </c>
      <c r="J4" s="2" t="n">
        <f aca="false">SUM(E4:I4)</f>
        <v>6</v>
      </c>
      <c r="K4" s="2" t="str">
        <f aca="false">IF(J4&gt;=9,"High",IF(J4&gt;=6,"Moderate","Low"))</f>
        <v>Moderate</v>
      </c>
      <c r="L4" s="2" t="str">
        <f aca="false">IF(AND(E4&gt;=1,F4&gt;=1),"Pass","FAIL-EXCLUDE")</f>
        <v>Pass</v>
      </c>
    </row>
    <row r="5" customFormat="false" ht="55.2" hidden="false" customHeight="false" outlineLevel="0" collapsed="false">
      <c r="A5" s="2" t="n">
        <v>4</v>
      </c>
      <c r="B5" s="3" t="s">
        <v>20</v>
      </c>
      <c r="C5" s="2" t="s">
        <v>18</v>
      </c>
      <c r="D5" s="2" t="s">
        <v>19</v>
      </c>
      <c r="E5" s="2" t="n">
        <v>2</v>
      </c>
      <c r="F5" s="2" t="n">
        <v>1</v>
      </c>
      <c r="G5" s="2" t="n">
        <v>1</v>
      </c>
      <c r="H5" s="2" t="n">
        <v>2</v>
      </c>
      <c r="I5" s="2" t="n">
        <v>2</v>
      </c>
      <c r="J5" s="2" t="n">
        <f aca="false">SUM(E5:I5)</f>
        <v>8</v>
      </c>
      <c r="K5" s="2" t="str">
        <f aca="false">IF(J5&gt;=9,"High",IF(J5&gt;=6,"Moderate","Low"))</f>
        <v>Moderate</v>
      </c>
      <c r="L5" s="2" t="str">
        <f aca="false">IF(AND(E5&gt;=1,F5&gt;=1),"Pass","FAIL-EXCLUDE")</f>
        <v>Pass</v>
      </c>
    </row>
    <row r="6" customFormat="false" ht="55.2" hidden="false" customHeight="false" outlineLevel="0" collapsed="false">
      <c r="A6" s="2" t="n">
        <v>5</v>
      </c>
      <c r="B6" s="3" t="s">
        <v>21</v>
      </c>
      <c r="C6" s="2" t="s">
        <v>22</v>
      </c>
      <c r="D6" s="2" t="s">
        <v>19</v>
      </c>
      <c r="E6" s="2" t="n">
        <v>2</v>
      </c>
      <c r="F6" s="2" t="n">
        <v>1</v>
      </c>
      <c r="G6" s="2" t="n">
        <v>1</v>
      </c>
      <c r="H6" s="2" t="n">
        <v>2</v>
      </c>
      <c r="I6" s="2" t="n">
        <v>2</v>
      </c>
      <c r="J6" s="2" t="n">
        <f aca="false">SUM(E6:I6)</f>
        <v>8</v>
      </c>
      <c r="K6" s="2" t="str">
        <f aca="false">IF(J6&gt;=9,"High",IF(J6&gt;=6,"Moderate","Low"))</f>
        <v>Moderate</v>
      </c>
      <c r="L6" s="2" t="str">
        <f aca="false">IF(AND(E6&gt;=1,F6&gt;=1),"Pass","FAIL-EXCLUDE")</f>
        <v>Pass</v>
      </c>
    </row>
    <row r="7" customFormat="false" ht="41.75" hidden="false" customHeight="false" outlineLevel="0" collapsed="false">
      <c r="A7" s="2" t="n">
        <v>6</v>
      </c>
      <c r="B7" s="3" t="s">
        <v>23</v>
      </c>
      <c r="C7" s="2" t="s">
        <v>16</v>
      </c>
      <c r="D7" s="2" t="s">
        <v>14</v>
      </c>
      <c r="E7" s="2" t="n">
        <v>2</v>
      </c>
      <c r="F7" s="2" t="n">
        <v>2</v>
      </c>
      <c r="G7" s="2" t="n">
        <v>2</v>
      </c>
      <c r="H7" s="2" t="n">
        <v>2</v>
      </c>
      <c r="I7" s="2" t="n">
        <v>1</v>
      </c>
      <c r="J7" s="2" t="n">
        <f aca="false">SUM(E7:I7)</f>
        <v>9</v>
      </c>
      <c r="K7" s="2" t="str">
        <f aca="false">IF(J7&gt;=9,"High",IF(J7&gt;=6,"Moderate","Low"))</f>
        <v>High</v>
      </c>
      <c r="L7" s="2" t="str">
        <f aca="false">IF(AND(E7&gt;=1,F7&gt;=1),"Pass","FAIL-EXCLUDE")</f>
        <v>Pass</v>
      </c>
    </row>
    <row r="8" customFormat="false" ht="68.65" hidden="false" customHeight="false" outlineLevel="0" collapsed="false">
      <c r="A8" s="2" t="n">
        <v>7</v>
      </c>
      <c r="B8" s="3" t="s">
        <v>24</v>
      </c>
      <c r="C8" s="2" t="s">
        <v>25</v>
      </c>
      <c r="D8" s="2" t="s">
        <v>14</v>
      </c>
      <c r="E8" s="2" t="n">
        <v>2</v>
      </c>
      <c r="F8" s="2" t="n">
        <v>2</v>
      </c>
      <c r="G8" s="2" t="n">
        <v>1</v>
      </c>
      <c r="H8" s="2" t="n">
        <v>2</v>
      </c>
      <c r="I8" s="2" t="n">
        <v>2</v>
      </c>
      <c r="J8" s="2" t="n">
        <f aca="false">SUM(E8:I8)</f>
        <v>9</v>
      </c>
      <c r="K8" s="2" t="str">
        <f aca="false">IF(J8&gt;=9,"High",IF(J8&gt;=6,"Moderate","Low"))</f>
        <v>High</v>
      </c>
      <c r="L8" s="2" t="str">
        <f aca="false">IF(AND(E8&gt;=1,F8&gt;=1),"Pass","FAIL-EXCLUDE")</f>
        <v>Pass</v>
      </c>
    </row>
    <row r="9" customFormat="false" ht="55.2" hidden="false" customHeight="false" outlineLevel="0" collapsed="false">
      <c r="A9" s="2" t="n">
        <v>8</v>
      </c>
      <c r="B9" s="3" t="s">
        <v>26</v>
      </c>
      <c r="C9" s="2" t="s">
        <v>16</v>
      </c>
      <c r="D9" s="2" t="s">
        <v>14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1</v>
      </c>
      <c r="J9" s="2" t="n">
        <f aca="false">SUM(E9:I9)</f>
        <v>9</v>
      </c>
      <c r="K9" s="2" t="str">
        <f aca="false">IF(J9&gt;=9,"High",IF(J9&gt;=6,"Moderate","Low"))</f>
        <v>High</v>
      </c>
      <c r="L9" s="2" t="str">
        <f aca="false">IF(AND(E9&gt;=1,F9&gt;=1),"Pass","FAIL-EXCLUDE")</f>
        <v>Pass</v>
      </c>
    </row>
    <row r="10" customFormat="false" ht="55.2" hidden="false" customHeight="false" outlineLevel="0" collapsed="false">
      <c r="A10" s="2" t="n">
        <v>9</v>
      </c>
      <c r="B10" s="3" t="s">
        <v>27</v>
      </c>
      <c r="C10" s="2" t="s">
        <v>28</v>
      </c>
      <c r="D10" s="2" t="s">
        <v>19</v>
      </c>
      <c r="E10" s="2" t="n">
        <v>2</v>
      </c>
      <c r="F10" s="2" t="n">
        <v>1</v>
      </c>
      <c r="G10" s="2" t="n">
        <v>0</v>
      </c>
      <c r="H10" s="2" t="n">
        <v>1</v>
      </c>
      <c r="I10" s="2" t="n">
        <v>2</v>
      </c>
      <c r="J10" s="2" t="n">
        <f aca="false">SUM(E10:I10)</f>
        <v>6</v>
      </c>
      <c r="K10" s="2" t="str">
        <f aca="false">IF(J10&gt;=9,"High",IF(J10&gt;=6,"Moderate","Low"))</f>
        <v>Moderate</v>
      </c>
      <c r="L10" s="2" t="str">
        <f aca="false">IF(AND(E10&gt;=1,F10&gt;=1),"Pass","FAIL-EXCLUDE")</f>
        <v>Pass</v>
      </c>
    </row>
    <row r="11" customFormat="false" ht="41.75" hidden="false" customHeight="false" outlineLevel="0" collapsed="false">
      <c r="A11" s="2" t="n">
        <v>10</v>
      </c>
      <c r="B11" s="3" t="s">
        <v>29</v>
      </c>
      <c r="C11" s="2" t="s">
        <v>30</v>
      </c>
      <c r="D11" s="2" t="s">
        <v>14</v>
      </c>
      <c r="E11" s="2" t="n">
        <v>2</v>
      </c>
      <c r="F11" s="2" t="n">
        <v>1</v>
      </c>
      <c r="G11" s="2" t="n">
        <v>1</v>
      </c>
      <c r="H11" s="2" t="n">
        <v>1</v>
      </c>
      <c r="I11" s="2" t="n">
        <v>2</v>
      </c>
      <c r="J11" s="2" t="n">
        <f aca="false">SUM(E11:I11)</f>
        <v>7</v>
      </c>
      <c r="K11" s="2" t="str">
        <f aca="false">IF(J11&gt;=9,"High",IF(J11&gt;=6,"Moderate","Low"))</f>
        <v>Moderate</v>
      </c>
      <c r="L11" s="2" t="str">
        <f aca="false">IF(AND(E11&gt;=1,F11&gt;=1),"Pass","FAIL-EXCLUDE")</f>
        <v>Pass</v>
      </c>
    </row>
    <row r="12" customFormat="false" ht="55.2" hidden="false" customHeight="false" outlineLevel="0" collapsed="false">
      <c r="A12" s="2" t="n">
        <v>11</v>
      </c>
      <c r="B12" s="3" t="s">
        <v>31</v>
      </c>
      <c r="C12" s="2" t="s">
        <v>16</v>
      </c>
      <c r="D12" s="2" t="s">
        <v>14</v>
      </c>
      <c r="E12" s="2" t="n">
        <v>2</v>
      </c>
      <c r="F12" s="2" t="n">
        <v>2</v>
      </c>
      <c r="G12" s="2" t="n">
        <v>2</v>
      </c>
      <c r="H12" s="2" t="n">
        <v>2</v>
      </c>
      <c r="I12" s="2" t="n">
        <v>1</v>
      </c>
      <c r="J12" s="2" t="n">
        <f aca="false">SUM(E12:I12)</f>
        <v>9</v>
      </c>
      <c r="K12" s="2" t="str">
        <f aca="false">IF(J12&gt;=9,"High",IF(J12&gt;=6,"Moderate","Low"))</f>
        <v>High</v>
      </c>
      <c r="L12" s="2" t="str">
        <f aca="false">IF(AND(E12&gt;=1,F12&gt;=1),"Pass","FAIL-EXCLUDE")</f>
        <v>Pass</v>
      </c>
    </row>
    <row r="13" customFormat="false" ht="55.2" hidden="false" customHeight="false" outlineLevel="0" collapsed="false">
      <c r="A13" s="2" t="n">
        <v>12</v>
      </c>
      <c r="B13" s="3" t="s">
        <v>32</v>
      </c>
      <c r="C13" s="2" t="s">
        <v>16</v>
      </c>
      <c r="D13" s="2" t="s">
        <v>14</v>
      </c>
      <c r="E13" s="2" t="n">
        <v>2</v>
      </c>
      <c r="F13" s="2" t="n">
        <v>2</v>
      </c>
      <c r="G13" s="2" t="n">
        <v>1</v>
      </c>
      <c r="H13" s="2" t="n">
        <v>1</v>
      </c>
      <c r="I13" s="2" t="n">
        <v>1</v>
      </c>
      <c r="J13" s="2" t="n">
        <f aca="false">SUM(E13:I13)</f>
        <v>7</v>
      </c>
      <c r="K13" s="2" t="str">
        <f aca="false">IF(J13&gt;=9,"High",IF(J13&gt;=6,"Moderate","Low"))</f>
        <v>Moderate</v>
      </c>
      <c r="L13" s="2" t="str">
        <f aca="false">IF(AND(E13&gt;=1,F13&gt;=1),"Pass","FAIL-EXCLUDE")</f>
        <v>Pass</v>
      </c>
    </row>
    <row r="14" customFormat="false" ht="41.75" hidden="false" customHeight="false" outlineLevel="0" collapsed="false">
      <c r="A14" s="2" t="n">
        <v>13</v>
      </c>
      <c r="B14" s="3" t="s">
        <v>33</v>
      </c>
      <c r="C14" s="2" t="s">
        <v>16</v>
      </c>
      <c r="D14" s="2" t="s">
        <v>14</v>
      </c>
      <c r="E14" s="2" t="n">
        <v>2</v>
      </c>
      <c r="F14" s="2" t="n">
        <v>2</v>
      </c>
      <c r="G14" s="2" t="n">
        <v>1</v>
      </c>
      <c r="H14" s="2" t="n">
        <v>1</v>
      </c>
      <c r="I14" s="2" t="n">
        <v>1</v>
      </c>
      <c r="J14" s="2" t="n">
        <f aca="false">SUM(E14:I14)</f>
        <v>7</v>
      </c>
      <c r="K14" s="2" t="str">
        <f aca="false">IF(J14&gt;=9,"High",IF(J14&gt;=6,"Moderate","Low"))</f>
        <v>Moderate</v>
      </c>
      <c r="L14" s="2" t="str">
        <f aca="false">IF(AND(E14&gt;=1,F14&gt;=1),"Pass","FAIL-EXCLUDE")</f>
        <v>Pass</v>
      </c>
    </row>
    <row r="15" customFormat="false" ht="41.75" hidden="false" customHeight="false" outlineLevel="0" collapsed="false">
      <c r="A15" s="2" t="n">
        <v>14</v>
      </c>
      <c r="B15" s="3" t="s">
        <v>34</v>
      </c>
      <c r="C15" s="2" t="s">
        <v>18</v>
      </c>
      <c r="D15" s="2" t="s">
        <v>19</v>
      </c>
      <c r="E15" s="2" t="n">
        <v>2</v>
      </c>
      <c r="F15" s="2" t="n">
        <v>1</v>
      </c>
      <c r="G15" s="2" t="n">
        <v>1</v>
      </c>
      <c r="H15" s="2" t="n">
        <v>2</v>
      </c>
      <c r="I15" s="2" t="n">
        <v>2</v>
      </c>
      <c r="J15" s="2" t="n">
        <f aca="false">SUM(E15:I15)</f>
        <v>8</v>
      </c>
      <c r="K15" s="2" t="str">
        <f aca="false">IF(J15&gt;=9,"High",IF(J15&gt;=6,"Moderate","Low"))</f>
        <v>Moderate</v>
      </c>
      <c r="L15" s="2" t="str">
        <f aca="false">IF(AND(E15&gt;=1,F15&gt;=1),"Pass","FAIL-EXCLUDE")</f>
        <v>Pass</v>
      </c>
    </row>
    <row r="16" customFormat="false" ht="41.75" hidden="false" customHeight="false" outlineLevel="0" collapsed="false">
      <c r="A16" s="2" t="n">
        <v>15</v>
      </c>
      <c r="B16" s="3" t="s">
        <v>35</v>
      </c>
      <c r="C16" s="2" t="s">
        <v>25</v>
      </c>
      <c r="D16" s="2" t="s">
        <v>14</v>
      </c>
      <c r="E16" s="2" t="n">
        <v>2</v>
      </c>
      <c r="F16" s="2" t="n">
        <v>1</v>
      </c>
      <c r="G16" s="2" t="n">
        <v>0</v>
      </c>
      <c r="H16" s="2" t="n">
        <v>1</v>
      </c>
      <c r="I16" s="2" t="n">
        <v>1</v>
      </c>
      <c r="J16" s="2" t="n">
        <f aca="false">SUM(E16:I16)</f>
        <v>5</v>
      </c>
      <c r="K16" s="2" t="str">
        <f aca="false">IF(J16&gt;=9,"High",IF(J16&gt;=6,"Moderate","Low"))</f>
        <v>Low</v>
      </c>
      <c r="L16" s="2" t="str">
        <f aca="false">IF(AND(E16&gt;=1,F16&gt;=1),"Pass","FAIL-EXCLUDE")</f>
        <v>Pass</v>
      </c>
    </row>
    <row r="17" customFormat="false" ht="55.2" hidden="false" customHeight="false" outlineLevel="0" collapsed="false">
      <c r="A17" s="2" t="n">
        <v>16</v>
      </c>
      <c r="B17" s="3" t="s">
        <v>36</v>
      </c>
      <c r="C17" s="2" t="s">
        <v>18</v>
      </c>
      <c r="D17" s="2" t="s">
        <v>19</v>
      </c>
      <c r="E17" s="2" t="n">
        <v>2</v>
      </c>
      <c r="F17" s="2" t="n">
        <v>1</v>
      </c>
      <c r="G17" s="2" t="n">
        <v>0</v>
      </c>
      <c r="H17" s="2" t="n">
        <v>1</v>
      </c>
      <c r="I17" s="2" t="n">
        <v>2</v>
      </c>
      <c r="J17" s="2" t="n">
        <f aca="false">SUM(E17:I17)</f>
        <v>6</v>
      </c>
      <c r="K17" s="2" t="str">
        <f aca="false">IF(J17&gt;=9,"High",IF(J17&gt;=6,"Moderate","Low"))</f>
        <v>Moderate</v>
      </c>
      <c r="L17" s="2" t="str">
        <f aca="false">IF(AND(E17&gt;=1,F17&gt;=1),"Pass","FAIL-EXCLUDE")</f>
        <v>Pass</v>
      </c>
    </row>
    <row r="18" customFormat="false" ht="68.65" hidden="false" customHeight="false" outlineLevel="0" collapsed="false">
      <c r="A18" s="2" t="n">
        <v>17</v>
      </c>
      <c r="B18" s="3" t="s">
        <v>37</v>
      </c>
      <c r="C18" s="2" t="s">
        <v>25</v>
      </c>
      <c r="D18" s="2" t="s">
        <v>14</v>
      </c>
      <c r="E18" s="2" t="n">
        <v>2</v>
      </c>
      <c r="F18" s="2" t="n">
        <v>2</v>
      </c>
      <c r="G18" s="2" t="n">
        <v>1</v>
      </c>
      <c r="H18" s="2" t="n">
        <v>2</v>
      </c>
      <c r="I18" s="2" t="n">
        <v>2</v>
      </c>
      <c r="J18" s="2" t="n">
        <f aca="false">SUM(E18:I18)</f>
        <v>9</v>
      </c>
      <c r="K18" s="2" t="str">
        <f aca="false">IF(J18&gt;=9,"High",IF(J18&gt;=6,"Moderate","Low"))</f>
        <v>High</v>
      </c>
      <c r="L18" s="2" t="str">
        <f aca="false">IF(AND(E18&gt;=1,F18&gt;=1),"Pass","FAIL-EXCLUDE")</f>
        <v>Pass</v>
      </c>
    </row>
    <row r="19" customFormat="false" ht="55.2" hidden="false" customHeight="false" outlineLevel="0" collapsed="false">
      <c r="A19" s="2" t="n">
        <v>18</v>
      </c>
      <c r="B19" s="3" t="s">
        <v>38</v>
      </c>
      <c r="C19" s="2" t="s">
        <v>18</v>
      </c>
      <c r="D19" s="2" t="s">
        <v>19</v>
      </c>
      <c r="E19" s="2" t="n">
        <v>2</v>
      </c>
      <c r="F19" s="2" t="n">
        <v>1</v>
      </c>
      <c r="G19" s="2" t="n">
        <v>0</v>
      </c>
      <c r="H19" s="2" t="n">
        <v>1</v>
      </c>
      <c r="I19" s="2" t="n">
        <v>2</v>
      </c>
      <c r="J19" s="2" t="n">
        <f aca="false">SUM(E19:I19)</f>
        <v>6</v>
      </c>
      <c r="K19" s="2" t="str">
        <f aca="false">IF(J19&gt;=9,"High",IF(J19&gt;=6,"Moderate","Low"))</f>
        <v>Moderate</v>
      </c>
      <c r="L19" s="2" t="str">
        <f aca="false">IF(AND(E19&gt;=1,F19&gt;=1),"Pass","FAIL-EXCLUDE")</f>
        <v>Pass</v>
      </c>
    </row>
    <row r="20" customFormat="false" ht="55.2" hidden="false" customHeight="false" outlineLevel="0" collapsed="false">
      <c r="A20" s="2" t="n">
        <v>19</v>
      </c>
      <c r="B20" s="3" t="s">
        <v>39</v>
      </c>
      <c r="C20" s="2" t="s">
        <v>18</v>
      </c>
      <c r="D20" s="2" t="s">
        <v>19</v>
      </c>
      <c r="E20" s="2" t="n">
        <v>2</v>
      </c>
      <c r="F20" s="2" t="n">
        <v>1</v>
      </c>
      <c r="G20" s="2" t="n">
        <v>1</v>
      </c>
      <c r="H20" s="2" t="n">
        <v>2</v>
      </c>
      <c r="I20" s="2" t="n">
        <v>2</v>
      </c>
      <c r="J20" s="2" t="n">
        <f aca="false">SUM(E20:I20)</f>
        <v>8</v>
      </c>
      <c r="K20" s="2" t="str">
        <f aca="false">IF(J20&gt;=9,"High",IF(J20&gt;=6,"Moderate","Low"))</f>
        <v>Moderate</v>
      </c>
      <c r="L20" s="2" t="str">
        <f aca="false">IF(AND(E20&gt;=1,F20&gt;=1),"Pass","FAIL-EXCLUDE")</f>
        <v>Pass</v>
      </c>
    </row>
    <row r="21" customFormat="false" ht="41.75" hidden="false" customHeight="false" outlineLevel="0" collapsed="false">
      <c r="A21" s="2" t="n">
        <v>20</v>
      </c>
      <c r="B21" s="3" t="s">
        <v>40</v>
      </c>
      <c r="C21" s="2" t="s">
        <v>16</v>
      </c>
      <c r="D21" s="2" t="s">
        <v>14</v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f aca="false">SUM(E21:I21)</f>
        <v>10</v>
      </c>
      <c r="K21" s="2" t="str">
        <f aca="false">IF(J21&gt;=9,"High",IF(J21&gt;=6,"Moderate","Low"))</f>
        <v>High</v>
      </c>
      <c r="L21" s="2" t="str">
        <f aca="false">IF(AND(E21&gt;=1,F21&gt;=1),"Pass","FAIL-EXCLUDE")</f>
        <v>Pass</v>
      </c>
    </row>
    <row r="22" customFormat="false" ht="55.2" hidden="false" customHeight="false" outlineLevel="0" collapsed="false">
      <c r="A22" s="2" t="n">
        <v>21</v>
      </c>
      <c r="B22" s="3" t="s">
        <v>41</v>
      </c>
      <c r="C22" s="2" t="s">
        <v>16</v>
      </c>
      <c r="D22" s="2" t="s">
        <v>14</v>
      </c>
      <c r="E22" s="2" t="n">
        <v>2</v>
      </c>
      <c r="F22" s="2" t="n">
        <v>2</v>
      </c>
      <c r="G22" s="2" t="n">
        <v>1</v>
      </c>
      <c r="H22" s="2" t="n">
        <v>1</v>
      </c>
      <c r="I22" s="2" t="n">
        <v>1</v>
      </c>
      <c r="J22" s="2" t="n">
        <f aca="false">SUM(E22:I22)</f>
        <v>7</v>
      </c>
      <c r="K22" s="2" t="str">
        <f aca="false">IF(J22&gt;=9,"High",IF(J22&gt;=6,"Moderate","Low"))</f>
        <v>Moderate</v>
      </c>
      <c r="L22" s="2" t="str">
        <f aca="false">IF(AND(E22&gt;=1,F22&gt;=1),"Pass","FAIL-EXCLUDE")</f>
        <v>Pass</v>
      </c>
    </row>
    <row r="23" customFormat="false" ht="28.35" hidden="false" customHeight="false" outlineLevel="0" collapsed="false">
      <c r="A23" s="2" t="n">
        <v>22</v>
      </c>
      <c r="B23" s="3" t="s">
        <v>42</v>
      </c>
      <c r="C23" s="2" t="s">
        <v>16</v>
      </c>
      <c r="D23" s="2" t="s">
        <v>14</v>
      </c>
      <c r="E23" s="2" t="n">
        <v>2</v>
      </c>
      <c r="F23" s="2" t="n">
        <v>2</v>
      </c>
      <c r="G23" s="2" t="n">
        <v>2</v>
      </c>
      <c r="H23" s="2" t="n">
        <v>2</v>
      </c>
      <c r="I23" s="2" t="n">
        <v>2</v>
      </c>
      <c r="J23" s="2" t="n">
        <f aca="false">SUM(E23:I23)</f>
        <v>10</v>
      </c>
      <c r="K23" s="2" t="str">
        <f aca="false">IF(J23&gt;=9,"High",IF(J23&gt;=6,"Moderate","Low"))</f>
        <v>High</v>
      </c>
      <c r="L23" s="2" t="str">
        <f aca="false">IF(AND(E23&gt;=1,F23&gt;=1),"Pass","FAIL-EXCLUDE")</f>
        <v>Pass</v>
      </c>
    </row>
    <row r="24" customFormat="false" ht="55.2" hidden="false" customHeight="false" outlineLevel="0" collapsed="false">
      <c r="A24" s="2" t="n">
        <v>23</v>
      </c>
      <c r="B24" s="3" t="s">
        <v>43</v>
      </c>
      <c r="C24" s="2" t="s">
        <v>16</v>
      </c>
      <c r="D24" s="2" t="s">
        <v>14</v>
      </c>
      <c r="E24" s="2" t="n">
        <v>2</v>
      </c>
      <c r="F24" s="2" t="n">
        <v>2</v>
      </c>
      <c r="G24" s="2" t="n">
        <v>1</v>
      </c>
      <c r="H24" s="2" t="n">
        <v>1</v>
      </c>
      <c r="I24" s="2" t="n">
        <v>1</v>
      </c>
      <c r="J24" s="2" t="n">
        <f aca="false">SUM(E24:I24)</f>
        <v>7</v>
      </c>
      <c r="K24" s="2" t="str">
        <f aca="false">IF(J24&gt;=9,"High",IF(J24&gt;=6,"Moderate","Low"))</f>
        <v>Moderate</v>
      </c>
      <c r="L24" s="2" t="str">
        <f aca="false">IF(AND(E24&gt;=1,F24&gt;=1),"Pass","FAIL-EXCLUDE")</f>
        <v>Pass</v>
      </c>
    </row>
    <row r="25" customFormat="false" ht="68.65" hidden="false" customHeight="false" outlineLevel="0" collapsed="false">
      <c r="A25" s="2" t="n">
        <v>24</v>
      </c>
      <c r="B25" s="3" t="s">
        <v>44</v>
      </c>
      <c r="C25" s="2" t="s">
        <v>16</v>
      </c>
      <c r="D25" s="2" t="s">
        <v>14</v>
      </c>
      <c r="E25" s="2" t="n">
        <v>2</v>
      </c>
      <c r="F25" s="2" t="n">
        <v>2</v>
      </c>
      <c r="G25" s="2" t="n">
        <v>2</v>
      </c>
      <c r="H25" s="2" t="n">
        <v>2</v>
      </c>
      <c r="I25" s="2" t="n">
        <v>1</v>
      </c>
      <c r="J25" s="2" t="n">
        <f aca="false">SUM(E25:I25)</f>
        <v>9</v>
      </c>
      <c r="K25" s="2" t="str">
        <f aca="false">IF(J25&gt;=9,"High",IF(J25&gt;=6,"Moderate","Low"))</f>
        <v>High</v>
      </c>
      <c r="L25" s="2" t="str">
        <f aca="false">IF(AND(E25&gt;=1,F25&gt;=1),"Pass","FAIL-EXCLUDE")</f>
        <v>Pass</v>
      </c>
    </row>
    <row r="26" customFormat="false" ht="41.75" hidden="false" customHeight="false" outlineLevel="0" collapsed="false">
      <c r="A26" s="2" t="n">
        <v>25</v>
      </c>
      <c r="B26" s="3" t="s">
        <v>45</v>
      </c>
      <c r="C26" s="2" t="s">
        <v>18</v>
      </c>
      <c r="D26" s="2" t="s">
        <v>19</v>
      </c>
      <c r="E26" s="2" t="n">
        <v>2</v>
      </c>
      <c r="F26" s="2" t="n">
        <v>1</v>
      </c>
      <c r="G26" s="2" t="n">
        <v>1</v>
      </c>
      <c r="H26" s="2" t="n">
        <v>2</v>
      </c>
      <c r="I26" s="2" t="n">
        <v>2</v>
      </c>
      <c r="J26" s="2" t="n">
        <f aca="false">SUM(E26:I26)</f>
        <v>8</v>
      </c>
      <c r="K26" s="2" t="str">
        <f aca="false">IF(J26&gt;=9,"High",IF(J26&gt;=6,"Moderate","Low"))</f>
        <v>Moderate</v>
      </c>
      <c r="L26" s="2" t="str">
        <f aca="false">IF(AND(E26&gt;=1,F26&gt;=1),"Pass","FAIL-EXCLUDE")</f>
        <v>Pass</v>
      </c>
    </row>
    <row r="27" customFormat="false" ht="41.75" hidden="false" customHeight="false" outlineLevel="0" collapsed="false">
      <c r="A27" s="2" t="n">
        <v>26</v>
      </c>
      <c r="B27" s="3" t="s">
        <v>46</v>
      </c>
      <c r="C27" s="2" t="s">
        <v>18</v>
      </c>
      <c r="D27" s="2" t="s">
        <v>19</v>
      </c>
      <c r="E27" s="2" t="n">
        <v>2</v>
      </c>
      <c r="F27" s="2" t="n">
        <v>1</v>
      </c>
      <c r="G27" s="2" t="n">
        <v>1</v>
      </c>
      <c r="H27" s="2" t="n">
        <v>2</v>
      </c>
      <c r="I27" s="2" t="n">
        <v>2</v>
      </c>
      <c r="J27" s="2" t="n">
        <f aca="false">SUM(E27:I27)</f>
        <v>8</v>
      </c>
      <c r="K27" s="2" t="str">
        <f aca="false">IF(J27&gt;=9,"High",IF(J27&gt;=6,"Moderate","Low"))</f>
        <v>Moderate</v>
      </c>
      <c r="L27" s="2" t="str">
        <f aca="false">IF(AND(E27&gt;=1,F27&gt;=1),"Pass","FAIL-EXCLUDE")</f>
        <v>Pass</v>
      </c>
    </row>
    <row r="28" customFormat="false" ht="55.2" hidden="false" customHeight="false" outlineLevel="0" collapsed="false">
      <c r="A28" s="2" t="n">
        <v>27</v>
      </c>
      <c r="B28" s="3" t="s">
        <v>47</v>
      </c>
      <c r="C28" s="2" t="s">
        <v>25</v>
      </c>
      <c r="D28" s="2" t="s">
        <v>14</v>
      </c>
      <c r="E28" s="2" t="n">
        <v>2</v>
      </c>
      <c r="F28" s="2" t="n">
        <v>2</v>
      </c>
      <c r="G28" s="2" t="n">
        <v>1</v>
      </c>
      <c r="H28" s="2" t="n">
        <v>1</v>
      </c>
      <c r="I28" s="2" t="n">
        <v>2</v>
      </c>
      <c r="J28" s="2" t="n">
        <f aca="false">SUM(E28:I28)</f>
        <v>8</v>
      </c>
      <c r="K28" s="2" t="str">
        <f aca="false">IF(J28&gt;=9,"High",IF(J28&gt;=6,"Moderate","Low"))</f>
        <v>Moderate</v>
      </c>
      <c r="L28" s="2" t="str">
        <f aca="false">IF(AND(E28&gt;=1,F28&gt;=1),"Pass","FAIL-EXCLUDE")</f>
        <v>Pass</v>
      </c>
    </row>
    <row r="29" customFormat="false" ht="55.2" hidden="false" customHeight="false" outlineLevel="0" collapsed="false">
      <c r="A29" s="2" t="n">
        <v>28</v>
      </c>
      <c r="B29" s="3" t="s">
        <v>48</v>
      </c>
      <c r="C29" s="2" t="s">
        <v>25</v>
      </c>
      <c r="D29" s="2" t="s">
        <v>14</v>
      </c>
      <c r="E29" s="2" t="n">
        <v>2</v>
      </c>
      <c r="F29" s="2" t="n">
        <v>1</v>
      </c>
      <c r="G29" s="2" t="n">
        <v>0</v>
      </c>
      <c r="H29" s="2" t="n">
        <v>1</v>
      </c>
      <c r="I29" s="2" t="n">
        <v>1</v>
      </c>
      <c r="J29" s="2" t="n">
        <f aca="false">SUM(E29:I29)</f>
        <v>5</v>
      </c>
      <c r="K29" s="2" t="str">
        <f aca="false">IF(J29&gt;=9,"High",IF(J29&gt;=6,"Moderate","Low"))</f>
        <v>Low</v>
      </c>
      <c r="L29" s="2" t="str">
        <f aca="false">IF(AND(E29&gt;=1,F29&gt;=1),"Pass","FAIL-EXCLUDE")</f>
        <v>Pass</v>
      </c>
    </row>
    <row r="30" customFormat="false" ht="55.2" hidden="false" customHeight="false" outlineLevel="0" collapsed="false">
      <c r="A30" s="2" t="n">
        <v>29</v>
      </c>
      <c r="B30" s="3" t="s">
        <v>49</v>
      </c>
      <c r="C30" s="2" t="s">
        <v>25</v>
      </c>
      <c r="D30" s="2" t="s">
        <v>14</v>
      </c>
      <c r="E30" s="2" t="n">
        <v>2</v>
      </c>
      <c r="F30" s="2" t="n">
        <v>2</v>
      </c>
      <c r="G30" s="2" t="n">
        <v>1</v>
      </c>
      <c r="H30" s="2" t="n">
        <v>1</v>
      </c>
      <c r="I30" s="2" t="n">
        <v>2</v>
      </c>
      <c r="J30" s="2" t="n">
        <f aca="false">SUM(E30:I30)</f>
        <v>8</v>
      </c>
      <c r="K30" s="2" t="str">
        <f aca="false">IF(J30&gt;=9,"High",IF(J30&gt;=6,"Moderate","Low"))</f>
        <v>Moderate</v>
      </c>
      <c r="L30" s="2" t="str">
        <f aca="false">IF(AND(E30&gt;=1,F30&gt;=1),"Pass","FAIL-EXCLUDE")</f>
        <v>Pass</v>
      </c>
    </row>
    <row r="31" customFormat="false" ht="55.2" hidden="false" customHeight="false" outlineLevel="0" collapsed="false">
      <c r="A31" s="2" t="n">
        <v>30</v>
      </c>
      <c r="B31" s="3" t="s">
        <v>50</v>
      </c>
      <c r="C31" s="2" t="s">
        <v>16</v>
      </c>
      <c r="D31" s="2" t="s">
        <v>14</v>
      </c>
      <c r="E31" s="2" t="n">
        <v>2</v>
      </c>
      <c r="F31" s="2" t="n">
        <v>2</v>
      </c>
      <c r="G31" s="2" t="n">
        <v>1</v>
      </c>
      <c r="H31" s="2" t="n">
        <v>1</v>
      </c>
      <c r="I31" s="2" t="n">
        <v>1</v>
      </c>
      <c r="J31" s="2" t="n">
        <f aca="false">SUM(E31:I31)</f>
        <v>7</v>
      </c>
      <c r="K31" s="2" t="str">
        <f aca="false">IF(J31&gt;=9,"High",IF(J31&gt;=6,"Moderate","Low"))</f>
        <v>Moderate</v>
      </c>
      <c r="L31" s="2" t="str">
        <f aca="false">IF(AND(E31&gt;=1,F31&gt;=1),"Pass","FAIL-EXCLUDE")</f>
        <v>Pass</v>
      </c>
    </row>
    <row r="32" customFormat="false" ht="55.2" hidden="false" customHeight="false" outlineLevel="0" collapsed="false">
      <c r="A32" s="2" t="n">
        <v>31</v>
      </c>
      <c r="B32" s="3" t="s">
        <v>51</v>
      </c>
      <c r="C32" s="2" t="s">
        <v>16</v>
      </c>
      <c r="D32" s="2" t="s">
        <v>14</v>
      </c>
      <c r="E32" s="2" t="n">
        <v>2</v>
      </c>
      <c r="F32" s="2" t="n">
        <v>2</v>
      </c>
      <c r="G32" s="2" t="n">
        <v>1</v>
      </c>
      <c r="H32" s="2" t="n">
        <v>1</v>
      </c>
      <c r="I32" s="2" t="n">
        <v>1</v>
      </c>
      <c r="J32" s="2" t="n">
        <f aca="false">SUM(E32:I32)</f>
        <v>7</v>
      </c>
      <c r="K32" s="2" t="str">
        <f aca="false">IF(J32&gt;=9,"High",IF(J32&gt;=6,"Moderate","Low"))</f>
        <v>Moderate</v>
      </c>
      <c r="L32" s="2" t="str">
        <f aca="false">IF(AND(E32&gt;=1,F32&gt;=1),"Pass","FAIL-EXCLUDE")</f>
        <v>Pass</v>
      </c>
    </row>
    <row r="33" customFormat="false" ht="41.75" hidden="false" customHeight="false" outlineLevel="0" collapsed="false">
      <c r="A33" s="2" t="n">
        <v>32</v>
      </c>
      <c r="B33" s="3" t="s">
        <v>52</v>
      </c>
      <c r="C33" s="2" t="s">
        <v>18</v>
      </c>
      <c r="D33" s="2" t="s">
        <v>19</v>
      </c>
      <c r="E33" s="2" t="n">
        <v>2</v>
      </c>
      <c r="F33" s="2" t="n">
        <v>1</v>
      </c>
      <c r="G33" s="2" t="n">
        <v>1</v>
      </c>
      <c r="H33" s="2" t="n">
        <v>2</v>
      </c>
      <c r="I33" s="2" t="n">
        <v>2</v>
      </c>
      <c r="J33" s="2" t="n">
        <f aca="false">SUM(E33:I33)</f>
        <v>8</v>
      </c>
      <c r="K33" s="2" t="str">
        <f aca="false">IF(J33&gt;=9,"High",IF(J33&gt;=6,"Moderate","Low"))</f>
        <v>Moderate</v>
      </c>
      <c r="L33" s="2" t="str">
        <f aca="false">IF(AND(E33&gt;=1,F33&gt;=1),"Pass","FAIL-EXCLUDE")</f>
        <v>Pass</v>
      </c>
    </row>
    <row r="34" customFormat="false" ht="55.2" hidden="false" customHeight="false" outlineLevel="0" collapsed="false">
      <c r="A34" s="2" t="n">
        <v>33</v>
      </c>
      <c r="B34" s="3" t="s">
        <v>53</v>
      </c>
      <c r="C34" s="2" t="s">
        <v>18</v>
      </c>
      <c r="D34" s="2" t="s">
        <v>19</v>
      </c>
      <c r="E34" s="2" t="n">
        <v>2</v>
      </c>
      <c r="F34" s="2" t="n">
        <v>1</v>
      </c>
      <c r="G34" s="2" t="n">
        <v>1</v>
      </c>
      <c r="H34" s="2" t="n">
        <v>2</v>
      </c>
      <c r="I34" s="2" t="n">
        <v>2</v>
      </c>
      <c r="J34" s="2" t="n">
        <f aca="false">SUM(E34:I34)</f>
        <v>8</v>
      </c>
      <c r="K34" s="2" t="str">
        <f aca="false">IF(J34&gt;=9,"High",IF(J34&gt;=6,"Moderate","Low"))</f>
        <v>Moderate</v>
      </c>
      <c r="L34" s="2" t="str">
        <f aca="false">IF(AND(E34&gt;=1,F34&gt;=1),"Pass","FAIL-EXCLUDE")</f>
        <v>Pass</v>
      </c>
    </row>
    <row r="35" customFormat="false" ht="55.2" hidden="false" customHeight="false" outlineLevel="0" collapsed="false">
      <c r="A35" s="2" t="n">
        <v>34</v>
      </c>
      <c r="B35" s="3" t="s">
        <v>54</v>
      </c>
      <c r="C35" s="2" t="s">
        <v>25</v>
      </c>
      <c r="D35" s="2" t="s">
        <v>14</v>
      </c>
      <c r="E35" s="2" t="n">
        <v>2</v>
      </c>
      <c r="F35" s="2" t="n">
        <v>2</v>
      </c>
      <c r="G35" s="2" t="n">
        <v>1</v>
      </c>
      <c r="H35" s="2" t="n">
        <v>1</v>
      </c>
      <c r="I35" s="2" t="n">
        <v>2</v>
      </c>
      <c r="J35" s="2" t="n">
        <f aca="false">SUM(E35:I35)</f>
        <v>8</v>
      </c>
      <c r="K35" s="2" t="str">
        <f aca="false">IF(J35&gt;=9,"High",IF(J35&gt;=6,"Moderate","Low"))</f>
        <v>Moderate</v>
      </c>
      <c r="L35" s="2" t="str">
        <f aca="false">IF(AND(E35&gt;=1,F35&gt;=1),"Pass","FAIL-EXCLUDE")</f>
        <v>Pass</v>
      </c>
    </row>
    <row r="36" customFormat="false" ht="41.75" hidden="false" customHeight="false" outlineLevel="0" collapsed="false">
      <c r="A36" s="2" t="n">
        <v>35</v>
      </c>
      <c r="B36" s="3" t="s">
        <v>55</v>
      </c>
      <c r="C36" s="2" t="s">
        <v>18</v>
      </c>
      <c r="D36" s="2" t="s">
        <v>19</v>
      </c>
      <c r="E36" s="2" t="n">
        <v>2</v>
      </c>
      <c r="F36" s="2" t="n">
        <v>1</v>
      </c>
      <c r="G36" s="2" t="n">
        <v>1</v>
      </c>
      <c r="H36" s="2" t="n">
        <v>2</v>
      </c>
      <c r="I36" s="2" t="n">
        <v>2</v>
      </c>
      <c r="J36" s="2" t="n">
        <f aca="false">SUM(E36:I36)</f>
        <v>8</v>
      </c>
      <c r="K36" s="2" t="str">
        <f aca="false">IF(J36&gt;=9,"High",IF(J36&gt;=6,"Moderate","Low"))</f>
        <v>Moderate</v>
      </c>
      <c r="L36" s="2" t="str">
        <f aca="false">IF(AND(E36&gt;=1,F36&gt;=1),"Pass","FAIL-EXCLUDE")</f>
        <v>Pass</v>
      </c>
    </row>
    <row r="37" customFormat="false" ht="55.2" hidden="false" customHeight="false" outlineLevel="0" collapsed="false">
      <c r="A37" s="2" t="n">
        <v>36</v>
      </c>
      <c r="B37" s="3" t="s">
        <v>56</v>
      </c>
      <c r="C37" s="2" t="s">
        <v>18</v>
      </c>
      <c r="D37" s="2" t="s">
        <v>19</v>
      </c>
      <c r="E37" s="2" t="n">
        <v>2</v>
      </c>
      <c r="F37" s="2" t="n">
        <v>1</v>
      </c>
      <c r="G37" s="2" t="n">
        <v>1</v>
      </c>
      <c r="H37" s="2" t="n">
        <v>2</v>
      </c>
      <c r="I37" s="2" t="n">
        <v>2</v>
      </c>
      <c r="J37" s="2" t="n">
        <f aca="false">SUM(E37:I37)</f>
        <v>8</v>
      </c>
      <c r="K37" s="2" t="str">
        <f aca="false">IF(J37&gt;=9,"High",IF(J37&gt;=6,"Moderate","Low"))</f>
        <v>Moderate</v>
      </c>
      <c r="L37" s="2" t="str">
        <f aca="false">IF(AND(E37&gt;=1,F37&gt;=1),"Pass","FAIL-EXCLUDE")</f>
        <v>Pass</v>
      </c>
    </row>
    <row r="38" customFormat="false" ht="41.75" hidden="false" customHeight="false" outlineLevel="0" collapsed="false">
      <c r="A38" s="2" t="n">
        <v>37</v>
      </c>
      <c r="B38" s="3" t="s">
        <v>57</v>
      </c>
      <c r="C38" s="2" t="s">
        <v>18</v>
      </c>
      <c r="D38" s="2" t="s">
        <v>19</v>
      </c>
      <c r="E38" s="2" t="n">
        <v>2</v>
      </c>
      <c r="F38" s="2" t="n">
        <v>1</v>
      </c>
      <c r="G38" s="2" t="n">
        <v>1</v>
      </c>
      <c r="H38" s="2" t="n">
        <v>2</v>
      </c>
      <c r="I38" s="2" t="n">
        <v>2</v>
      </c>
      <c r="J38" s="2" t="n">
        <f aca="false">SUM(E38:I38)</f>
        <v>8</v>
      </c>
      <c r="K38" s="2" t="str">
        <f aca="false">IF(J38&gt;=9,"High",IF(J38&gt;=6,"Moderate","Low"))</f>
        <v>Moderate</v>
      </c>
      <c r="L38" s="2" t="str">
        <f aca="false">IF(AND(E38&gt;=1,F38&gt;=1),"Pass","FAIL-EXCLUDE")</f>
        <v>Pass</v>
      </c>
    </row>
    <row r="39" customFormat="false" ht="55.2" hidden="false" customHeight="false" outlineLevel="0" collapsed="false">
      <c r="A39" s="2" t="n">
        <v>38</v>
      </c>
      <c r="B39" s="3" t="s">
        <v>58</v>
      </c>
      <c r="C39" s="2" t="s">
        <v>18</v>
      </c>
      <c r="D39" s="2" t="s">
        <v>19</v>
      </c>
      <c r="E39" s="2" t="n">
        <v>2</v>
      </c>
      <c r="F39" s="2" t="n">
        <v>1</v>
      </c>
      <c r="G39" s="2" t="n">
        <v>0</v>
      </c>
      <c r="H39" s="2" t="n">
        <v>1</v>
      </c>
      <c r="I39" s="2" t="n">
        <v>2</v>
      </c>
      <c r="J39" s="2" t="n">
        <f aca="false">SUM(E39:I39)</f>
        <v>6</v>
      </c>
      <c r="K39" s="2" t="str">
        <f aca="false">IF(J39&gt;=9,"High",IF(J39&gt;=6,"Moderate","Low"))</f>
        <v>Moderate</v>
      </c>
      <c r="L39" s="2" t="str">
        <f aca="false">IF(AND(E39&gt;=1,F39&gt;=1),"Pass","FAIL-EXCLUDE")</f>
        <v>Pass</v>
      </c>
    </row>
    <row r="40" customFormat="false" ht="55.2" hidden="false" customHeight="false" outlineLevel="0" collapsed="false">
      <c r="A40" s="2" t="n">
        <v>39</v>
      </c>
      <c r="B40" s="3" t="s">
        <v>59</v>
      </c>
      <c r="C40" s="2" t="s">
        <v>18</v>
      </c>
      <c r="D40" s="2" t="s">
        <v>19</v>
      </c>
      <c r="E40" s="2" t="n">
        <v>2</v>
      </c>
      <c r="F40" s="2" t="n">
        <v>1</v>
      </c>
      <c r="G40" s="2" t="n">
        <v>1</v>
      </c>
      <c r="H40" s="2" t="n">
        <v>2</v>
      </c>
      <c r="I40" s="2" t="n">
        <v>2</v>
      </c>
      <c r="J40" s="2" t="n">
        <f aca="false">SUM(E40:I40)</f>
        <v>8</v>
      </c>
      <c r="K40" s="2" t="str">
        <f aca="false">IF(J40&gt;=9,"High",IF(J40&gt;=6,"Moderate","Low"))</f>
        <v>Moderate</v>
      </c>
      <c r="L40" s="2" t="str">
        <f aca="false">IF(AND(E40&gt;=1,F40&gt;=1),"Pass","FAIL-EXCLUDE")</f>
        <v>Pass</v>
      </c>
    </row>
    <row r="41" customFormat="false" ht="28.35" hidden="false" customHeight="false" outlineLevel="0" collapsed="false">
      <c r="A41" s="2" t="n">
        <v>40</v>
      </c>
      <c r="B41" s="3" t="s">
        <v>60</v>
      </c>
      <c r="C41" s="2" t="s">
        <v>16</v>
      </c>
      <c r="D41" s="2" t="s">
        <v>14</v>
      </c>
      <c r="E41" s="2" t="n">
        <v>2</v>
      </c>
      <c r="F41" s="2" t="n">
        <v>2</v>
      </c>
      <c r="G41" s="2" t="n">
        <v>2</v>
      </c>
      <c r="H41" s="2" t="n">
        <v>2</v>
      </c>
      <c r="I41" s="2" t="n">
        <v>1</v>
      </c>
      <c r="J41" s="2" t="n">
        <f aca="false">SUM(E41:I41)</f>
        <v>9</v>
      </c>
      <c r="K41" s="2" t="str">
        <f aca="false">IF(J41&gt;=9,"High",IF(J41&gt;=6,"Moderate","Low"))</f>
        <v>High</v>
      </c>
      <c r="L41" s="2" t="str">
        <f aca="false">IF(AND(E41&gt;=1,F41&gt;=1),"Pass","FAIL-EXCLUDE")</f>
        <v>Pass</v>
      </c>
    </row>
    <row r="42" customFormat="false" ht="41.75" hidden="false" customHeight="false" outlineLevel="0" collapsed="false">
      <c r="A42" s="2" t="n">
        <v>41</v>
      </c>
      <c r="B42" s="3" t="s">
        <v>61</v>
      </c>
      <c r="C42" s="2" t="s">
        <v>16</v>
      </c>
      <c r="D42" s="2" t="s">
        <v>14</v>
      </c>
      <c r="E42" s="2" t="n">
        <v>2</v>
      </c>
      <c r="F42" s="2" t="n">
        <v>2</v>
      </c>
      <c r="G42" s="2" t="n">
        <v>2</v>
      </c>
      <c r="H42" s="2" t="n">
        <v>2</v>
      </c>
      <c r="I42" s="2" t="n">
        <v>2</v>
      </c>
      <c r="J42" s="2" t="n">
        <f aca="false">SUM(E42:I42)</f>
        <v>10</v>
      </c>
      <c r="K42" s="2" t="str">
        <f aca="false">IF(J42&gt;=9,"High",IF(J42&gt;=6,"Moderate","Low"))</f>
        <v>High</v>
      </c>
      <c r="L42" s="2" t="str">
        <f aca="false">IF(AND(E42&gt;=1,F42&gt;=1),"Pass","FAIL-EXCLUDE")</f>
        <v>Pass</v>
      </c>
    </row>
    <row r="43" customFormat="false" ht="55.2" hidden="false" customHeight="false" outlineLevel="0" collapsed="false">
      <c r="A43" s="2" t="n">
        <v>42</v>
      </c>
      <c r="B43" s="3" t="s">
        <v>62</v>
      </c>
      <c r="C43" s="2" t="s">
        <v>25</v>
      </c>
      <c r="D43" s="2" t="s">
        <v>14</v>
      </c>
      <c r="E43" s="2" t="n">
        <v>2</v>
      </c>
      <c r="F43" s="2" t="n">
        <v>2</v>
      </c>
      <c r="G43" s="2" t="n">
        <v>1</v>
      </c>
      <c r="H43" s="2" t="n">
        <v>2</v>
      </c>
      <c r="I43" s="2" t="n">
        <v>2</v>
      </c>
      <c r="J43" s="2" t="n">
        <f aca="false">SUM(E43:I43)</f>
        <v>9</v>
      </c>
      <c r="K43" s="2" t="str">
        <f aca="false">IF(J43&gt;=9,"High",IF(J43&gt;=6,"Moderate","Low"))</f>
        <v>High</v>
      </c>
      <c r="L43" s="2" t="str">
        <f aca="false">IF(AND(E43&gt;=1,F43&gt;=1),"Pass","FAIL-EXCLUDE")</f>
        <v>Pass</v>
      </c>
    </row>
    <row r="44" customFormat="false" ht="41.75" hidden="false" customHeight="false" outlineLevel="0" collapsed="false">
      <c r="A44" s="2" t="n">
        <v>43</v>
      </c>
      <c r="B44" s="3" t="s">
        <v>63</v>
      </c>
      <c r="C44" s="2" t="s">
        <v>16</v>
      </c>
      <c r="D44" s="2" t="s">
        <v>14</v>
      </c>
      <c r="E44" s="2" t="n">
        <v>2</v>
      </c>
      <c r="F44" s="2" t="n">
        <v>2</v>
      </c>
      <c r="G44" s="2" t="n">
        <v>2</v>
      </c>
      <c r="H44" s="2" t="n">
        <v>2</v>
      </c>
      <c r="I44" s="2" t="n">
        <v>1</v>
      </c>
      <c r="J44" s="2" t="n">
        <f aca="false">SUM(E44:I44)</f>
        <v>9</v>
      </c>
      <c r="K44" s="2" t="str">
        <f aca="false">IF(J44&gt;=9,"High",IF(J44&gt;=6,"Moderate","Low"))</f>
        <v>High</v>
      </c>
      <c r="L44" s="2" t="str">
        <f aca="false">IF(AND(E44&gt;=1,F44&gt;=1),"Pass","FAIL-EXCLUDE")</f>
        <v>Pass</v>
      </c>
    </row>
    <row r="45" customFormat="false" ht="55.2" hidden="false" customHeight="false" outlineLevel="0" collapsed="false">
      <c r="A45" s="2" t="n">
        <v>44</v>
      </c>
      <c r="B45" s="3" t="s">
        <v>64</v>
      </c>
      <c r="C45" s="2" t="s">
        <v>16</v>
      </c>
      <c r="D45" s="2" t="s">
        <v>14</v>
      </c>
      <c r="E45" s="2" t="n">
        <v>2</v>
      </c>
      <c r="F45" s="2" t="n">
        <v>2</v>
      </c>
      <c r="G45" s="2" t="n">
        <v>2</v>
      </c>
      <c r="H45" s="2" t="n">
        <v>2</v>
      </c>
      <c r="I45" s="2" t="n">
        <v>2</v>
      </c>
      <c r="J45" s="2" t="n">
        <f aca="false">SUM(E45:I45)</f>
        <v>10</v>
      </c>
      <c r="K45" s="2" t="str">
        <f aca="false">IF(J45&gt;=9,"High",IF(J45&gt;=6,"Moderate","Low"))</f>
        <v>High</v>
      </c>
      <c r="L45" s="2" t="str">
        <f aca="false">IF(AND(E45&gt;=1,F45&gt;=1),"Pass","FAIL-EXCLUDE")</f>
        <v>Pass</v>
      </c>
    </row>
    <row r="46" customFormat="false" ht="55.2" hidden="false" customHeight="false" outlineLevel="0" collapsed="false">
      <c r="A46" s="2" t="n">
        <v>45</v>
      </c>
      <c r="B46" s="3" t="s">
        <v>65</v>
      </c>
      <c r="C46" s="2" t="s">
        <v>16</v>
      </c>
      <c r="D46" s="2" t="s">
        <v>14</v>
      </c>
      <c r="E46" s="2" t="n">
        <v>2</v>
      </c>
      <c r="F46" s="2" t="n">
        <v>2</v>
      </c>
      <c r="G46" s="2" t="n">
        <v>1</v>
      </c>
      <c r="H46" s="2" t="n">
        <v>1</v>
      </c>
      <c r="I46" s="2" t="n">
        <v>1</v>
      </c>
      <c r="J46" s="2" t="n">
        <f aca="false">SUM(E46:I46)</f>
        <v>7</v>
      </c>
      <c r="K46" s="2" t="str">
        <f aca="false">IF(J46&gt;=9,"High",IF(J46&gt;=6,"Moderate","Low"))</f>
        <v>Moderate</v>
      </c>
      <c r="L46" s="2" t="str">
        <f aca="false">IF(AND(E46&gt;=1,F46&gt;=1),"Pass","FAIL-EXCLUDE")</f>
        <v>Pass</v>
      </c>
    </row>
    <row r="47" customFormat="false" ht="55.2" hidden="false" customHeight="false" outlineLevel="0" collapsed="false">
      <c r="A47" s="2" t="n">
        <v>46</v>
      </c>
      <c r="B47" s="3" t="s">
        <v>66</v>
      </c>
      <c r="C47" s="2" t="s">
        <v>16</v>
      </c>
      <c r="D47" s="2" t="s">
        <v>14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f aca="false">SUM(E47:I47)</f>
        <v>10</v>
      </c>
      <c r="K47" s="2" t="str">
        <f aca="false">IF(J47&gt;=9,"High",IF(J47&gt;=6,"Moderate","Low"))</f>
        <v>High</v>
      </c>
      <c r="L47" s="2" t="str">
        <f aca="false">IF(AND(E47&gt;=1,F47&gt;=1),"Pass","FAIL-EXCLUDE")</f>
        <v>Pass</v>
      </c>
    </row>
    <row r="48" customFormat="false" ht="68.65" hidden="false" customHeight="false" outlineLevel="0" collapsed="false">
      <c r="A48" s="2" t="n">
        <v>47</v>
      </c>
      <c r="B48" s="3" t="s">
        <v>67</v>
      </c>
      <c r="C48" s="2" t="s">
        <v>16</v>
      </c>
      <c r="D48" s="2" t="s">
        <v>14</v>
      </c>
      <c r="E48" s="2" t="n">
        <v>2</v>
      </c>
      <c r="F48" s="2" t="n">
        <v>2</v>
      </c>
      <c r="G48" s="2" t="n">
        <v>2</v>
      </c>
      <c r="H48" s="2" t="n">
        <v>2</v>
      </c>
      <c r="I48" s="2" t="n">
        <v>1</v>
      </c>
      <c r="J48" s="2" t="n">
        <f aca="false">SUM(E48:I48)</f>
        <v>9</v>
      </c>
      <c r="K48" s="2" t="str">
        <f aca="false">IF(J48&gt;=9,"High",IF(J48&gt;=6,"Moderate","Low"))</f>
        <v>High</v>
      </c>
      <c r="L48" s="2" t="str">
        <f aca="false">IF(AND(E48&gt;=1,F48&gt;=1),"Pass","FAIL-EXCLUDE")</f>
        <v>Pass</v>
      </c>
    </row>
    <row r="49" customFormat="false" ht="55.2" hidden="false" customHeight="false" outlineLevel="0" collapsed="false">
      <c r="A49" s="2" t="n">
        <v>48</v>
      </c>
      <c r="B49" s="3" t="s">
        <v>68</v>
      </c>
      <c r="C49" s="2" t="s">
        <v>25</v>
      </c>
      <c r="D49" s="2" t="s">
        <v>14</v>
      </c>
      <c r="E49" s="2" t="n">
        <v>2</v>
      </c>
      <c r="F49" s="2" t="n">
        <v>1</v>
      </c>
      <c r="G49" s="2" t="n">
        <v>0</v>
      </c>
      <c r="H49" s="2" t="n">
        <v>1</v>
      </c>
      <c r="I49" s="2" t="n">
        <v>1</v>
      </c>
      <c r="J49" s="2" t="n">
        <f aca="false">SUM(E49:I49)</f>
        <v>5</v>
      </c>
      <c r="K49" s="2" t="str">
        <f aca="false">IF(J49&gt;=9,"High",IF(J49&gt;=6,"Moderate","Low"))</f>
        <v>Low</v>
      </c>
      <c r="L49" s="2" t="str">
        <f aca="false">IF(AND(E49&gt;=1,F49&gt;=1),"Pass","FAIL-EXCLUDE")</f>
        <v>Pass</v>
      </c>
    </row>
    <row r="50" customFormat="false" ht="28.35" hidden="false" customHeight="false" outlineLevel="0" collapsed="false">
      <c r="A50" s="2" t="n">
        <v>49</v>
      </c>
      <c r="B50" s="3" t="s">
        <v>69</v>
      </c>
      <c r="C50" s="2" t="s">
        <v>18</v>
      </c>
      <c r="D50" s="2" t="s">
        <v>19</v>
      </c>
      <c r="E50" s="2" t="n">
        <v>2</v>
      </c>
      <c r="F50" s="2" t="n">
        <v>1</v>
      </c>
      <c r="G50" s="2" t="n">
        <v>1</v>
      </c>
      <c r="H50" s="2" t="n">
        <v>2</v>
      </c>
      <c r="I50" s="2" t="n">
        <v>2</v>
      </c>
      <c r="J50" s="2" t="n">
        <f aca="false">SUM(E50:I50)</f>
        <v>8</v>
      </c>
      <c r="K50" s="2" t="str">
        <f aca="false">IF(J50&gt;=9,"High",IF(J50&gt;=6,"Moderate","Low"))</f>
        <v>Moderate</v>
      </c>
      <c r="L50" s="2" t="str">
        <f aca="false">IF(AND(E50&gt;=1,F50&gt;=1),"Pass","FAIL-EXCLUDE")</f>
        <v>Pass</v>
      </c>
    </row>
    <row r="51" customFormat="false" ht="55.2" hidden="false" customHeight="false" outlineLevel="0" collapsed="false">
      <c r="A51" s="2" t="n">
        <v>50</v>
      </c>
      <c r="B51" s="3" t="s">
        <v>70</v>
      </c>
      <c r="C51" s="2" t="s">
        <v>18</v>
      </c>
      <c r="D51" s="2" t="s">
        <v>19</v>
      </c>
      <c r="E51" s="2" t="n">
        <v>2</v>
      </c>
      <c r="F51" s="2" t="n">
        <v>1</v>
      </c>
      <c r="G51" s="2" t="n">
        <v>0</v>
      </c>
      <c r="H51" s="2" t="n">
        <v>1</v>
      </c>
      <c r="I51" s="2" t="n">
        <v>2</v>
      </c>
      <c r="J51" s="2" t="n">
        <f aca="false">SUM(E51:I51)</f>
        <v>6</v>
      </c>
      <c r="K51" s="2" t="str">
        <f aca="false">IF(J51&gt;=9,"High",IF(J51&gt;=6,"Moderate","Low"))</f>
        <v>Moderate</v>
      </c>
      <c r="L51" s="2" t="str">
        <f aca="false">IF(AND(E51&gt;=1,F51&gt;=1),"Pass","FAIL-EXCLUDE")</f>
        <v>Pass</v>
      </c>
    </row>
    <row r="52" customFormat="false" ht="41.75" hidden="false" customHeight="false" outlineLevel="0" collapsed="false">
      <c r="A52" s="2" t="n">
        <v>51</v>
      </c>
      <c r="B52" s="3" t="s">
        <v>71</v>
      </c>
      <c r="C52" s="2" t="s">
        <v>25</v>
      </c>
      <c r="D52" s="2" t="s">
        <v>14</v>
      </c>
      <c r="E52" s="2" t="n">
        <v>2</v>
      </c>
      <c r="F52" s="2" t="n">
        <v>2</v>
      </c>
      <c r="G52" s="2" t="n">
        <v>1</v>
      </c>
      <c r="H52" s="2" t="n">
        <v>1</v>
      </c>
      <c r="I52" s="2" t="n">
        <v>2</v>
      </c>
      <c r="J52" s="2" t="n">
        <f aca="false">SUM(E52:I52)</f>
        <v>8</v>
      </c>
      <c r="K52" s="2" t="str">
        <f aca="false">IF(J52&gt;=9,"High",IF(J52&gt;=6,"Moderate","Low"))</f>
        <v>Moderate</v>
      </c>
      <c r="L52" s="2" t="str">
        <f aca="false">IF(AND(E52&gt;=1,F52&gt;=1),"Pass","FAIL-EXCLUDE")</f>
        <v>Pass</v>
      </c>
    </row>
    <row r="53" customFormat="false" ht="28.35" hidden="false" customHeight="false" outlineLevel="0" collapsed="false">
      <c r="A53" s="2" t="n">
        <v>52</v>
      </c>
      <c r="B53" s="3" t="s">
        <v>72</v>
      </c>
      <c r="C53" s="2" t="s">
        <v>16</v>
      </c>
      <c r="D53" s="2" t="s">
        <v>14</v>
      </c>
      <c r="E53" s="2" t="n">
        <v>2</v>
      </c>
      <c r="F53" s="2" t="n">
        <v>2</v>
      </c>
      <c r="G53" s="2" t="n">
        <v>1</v>
      </c>
      <c r="H53" s="2" t="n">
        <v>1</v>
      </c>
      <c r="I53" s="2" t="n">
        <v>1</v>
      </c>
      <c r="J53" s="2" t="n">
        <f aca="false">SUM(E53:I53)</f>
        <v>7</v>
      </c>
      <c r="K53" s="2" t="str">
        <f aca="false">IF(J53&gt;=9,"High",IF(J53&gt;=6,"Moderate","Low"))</f>
        <v>Moderate</v>
      </c>
      <c r="L53" s="2" t="str">
        <f aca="false">IF(AND(E53&gt;=1,F53&gt;=1),"Pass","FAIL-EXCLUDE")</f>
        <v>Pass</v>
      </c>
    </row>
    <row r="54" customFormat="false" ht="55.2" hidden="false" customHeight="false" outlineLevel="0" collapsed="false">
      <c r="A54" s="2" t="n">
        <v>53</v>
      </c>
      <c r="B54" s="3" t="s">
        <v>73</v>
      </c>
      <c r="C54" s="2" t="s">
        <v>18</v>
      </c>
      <c r="D54" s="2" t="s">
        <v>19</v>
      </c>
      <c r="E54" s="2" t="n">
        <v>2</v>
      </c>
      <c r="F54" s="2" t="n">
        <v>1</v>
      </c>
      <c r="G54" s="2" t="n">
        <v>0</v>
      </c>
      <c r="H54" s="2" t="n">
        <v>1</v>
      </c>
      <c r="I54" s="2" t="n">
        <v>2</v>
      </c>
      <c r="J54" s="2" t="n">
        <f aca="false">SUM(E54:I54)</f>
        <v>6</v>
      </c>
      <c r="K54" s="2" t="str">
        <f aca="false">IF(J54&gt;=9,"High",IF(J54&gt;=6,"Moderate","Low"))</f>
        <v>Moderate</v>
      </c>
      <c r="L54" s="2" t="str">
        <f aca="false">IF(AND(E54&gt;=1,F54&gt;=1),"Pass","FAIL-EXCLUDE")</f>
        <v>Pass</v>
      </c>
    </row>
    <row r="55" customFormat="false" ht="55.2" hidden="false" customHeight="false" outlineLevel="0" collapsed="false">
      <c r="A55" s="2" t="n">
        <v>54</v>
      </c>
      <c r="B55" s="3" t="s">
        <v>74</v>
      </c>
      <c r="C55" s="2" t="s">
        <v>25</v>
      </c>
      <c r="D55" s="2" t="s">
        <v>14</v>
      </c>
      <c r="E55" s="2" t="n">
        <v>2</v>
      </c>
      <c r="F55" s="2" t="n">
        <v>2</v>
      </c>
      <c r="G55" s="2" t="n">
        <v>1</v>
      </c>
      <c r="H55" s="2" t="n">
        <v>1</v>
      </c>
      <c r="I55" s="2" t="n">
        <v>2</v>
      </c>
      <c r="J55" s="2" t="n">
        <f aca="false">SUM(E55:I55)</f>
        <v>8</v>
      </c>
      <c r="K55" s="2" t="str">
        <f aca="false">IF(J55&gt;=9,"High",IF(J55&gt;=6,"Moderate","Low"))</f>
        <v>Moderate</v>
      </c>
      <c r="L55" s="2" t="str">
        <f aca="false">IF(AND(E55&gt;=1,F55&gt;=1),"Pass","FAIL-EXCLUDE")</f>
        <v>Pass</v>
      </c>
    </row>
    <row r="56" customFormat="false" ht="41.75" hidden="false" customHeight="false" outlineLevel="0" collapsed="false">
      <c r="A56" s="2" t="n">
        <v>55</v>
      </c>
      <c r="B56" s="3" t="s">
        <v>75</v>
      </c>
      <c r="C56" s="2" t="s">
        <v>16</v>
      </c>
      <c r="D56" s="2" t="s">
        <v>14</v>
      </c>
      <c r="E56" s="2" t="n">
        <v>2</v>
      </c>
      <c r="F56" s="2" t="n">
        <v>2</v>
      </c>
      <c r="G56" s="2" t="n">
        <v>1</v>
      </c>
      <c r="H56" s="2" t="n">
        <v>1</v>
      </c>
      <c r="I56" s="2" t="n">
        <v>1</v>
      </c>
      <c r="J56" s="2" t="n">
        <f aca="false">SUM(E56:I56)</f>
        <v>7</v>
      </c>
      <c r="K56" s="2" t="str">
        <f aca="false">IF(J56&gt;=9,"High",IF(J56&gt;=6,"Moderate","Low"))</f>
        <v>Moderate</v>
      </c>
      <c r="L56" s="2" t="str">
        <f aca="false">IF(AND(E56&gt;=1,F56&gt;=1),"Pass","FAIL-EXCLUDE")</f>
        <v>Pass</v>
      </c>
    </row>
    <row r="57" customFormat="false" ht="55.2" hidden="false" customHeight="false" outlineLevel="0" collapsed="false">
      <c r="A57" s="2" t="n">
        <v>56</v>
      </c>
      <c r="B57" s="3" t="s">
        <v>76</v>
      </c>
      <c r="C57" s="2" t="s">
        <v>16</v>
      </c>
      <c r="D57" s="2" t="s">
        <v>14</v>
      </c>
      <c r="E57" s="2" t="n">
        <v>2</v>
      </c>
      <c r="F57" s="2" t="n">
        <v>2</v>
      </c>
      <c r="G57" s="2" t="n">
        <v>2</v>
      </c>
      <c r="H57" s="2" t="n">
        <v>2</v>
      </c>
      <c r="I57" s="2" t="n">
        <v>1</v>
      </c>
      <c r="J57" s="2" t="n">
        <f aca="false">SUM(E57:I57)</f>
        <v>9</v>
      </c>
      <c r="K57" s="2" t="str">
        <f aca="false">IF(J57&gt;=9,"High",IF(J57&gt;=6,"Moderate","Low"))</f>
        <v>High</v>
      </c>
      <c r="L57" s="2" t="str">
        <f aca="false">IF(AND(E57&gt;=1,F57&gt;=1),"Pass","FAIL-EXCLUDE")</f>
        <v>Pass</v>
      </c>
    </row>
    <row r="58" customFormat="false" ht="55.2" hidden="false" customHeight="false" outlineLevel="0" collapsed="false">
      <c r="A58" s="2" t="n">
        <v>57</v>
      </c>
      <c r="B58" s="3" t="s">
        <v>77</v>
      </c>
      <c r="C58" s="2" t="s">
        <v>16</v>
      </c>
      <c r="D58" s="2" t="s">
        <v>14</v>
      </c>
      <c r="E58" s="2" t="n">
        <v>2</v>
      </c>
      <c r="F58" s="2" t="n">
        <v>2</v>
      </c>
      <c r="G58" s="2" t="n">
        <v>2</v>
      </c>
      <c r="H58" s="2" t="n">
        <v>2</v>
      </c>
      <c r="I58" s="2" t="n">
        <v>2</v>
      </c>
      <c r="J58" s="2" t="n">
        <f aca="false">SUM(E58:I58)</f>
        <v>10</v>
      </c>
      <c r="K58" s="2" t="str">
        <f aca="false">IF(J58&gt;=9,"High",IF(J58&gt;=6,"Moderate","Low"))</f>
        <v>High</v>
      </c>
      <c r="L58" s="2" t="str">
        <f aca="false">IF(AND(E58&gt;=1,F58&gt;=1),"Pass","FAIL-EXCLUDE")</f>
        <v>Pass</v>
      </c>
    </row>
    <row r="59" customFormat="false" ht="55.2" hidden="false" customHeight="false" outlineLevel="0" collapsed="false">
      <c r="A59" s="2" t="n">
        <v>58</v>
      </c>
      <c r="B59" s="3" t="s">
        <v>78</v>
      </c>
      <c r="C59" s="2" t="s">
        <v>16</v>
      </c>
      <c r="D59" s="2" t="s">
        <v>14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1</v>
      </c>
      <c r="J59" s="2" t="n">
        <f aca="false">SUM(E59:I59)</f>
        <v>9</v>
      </c>
      <c r="K59" s="2" t="str">
        <f aca="false">IF(J59&gt;=9,"High",IF(J59&gt;=6,"Moderate","Low"))</f>
        <v>High</v>
      </c>
      <c r="L59" s="2" t="str">
        <f aca="false">IF(AND(E59&gt;=1,F59&gt;=1),"Pass","FAIL-EXCLUDE")</f>
        <v>Pass</v>
      </c>
    </row>
    <row r="60" customFormat="false" ht="55.2" hidden="false" customHeight="false" outlineLevel="0" collapsed="false">
      <c r="A60" s="2" t="n">
        <v>59</v>
      </c>
      <c r="B60" s="3" t="s">
        <v>79</v>
      </c>
      <c r="C60" s="2" t="s">
        <v>16</v>
      </c>
      <c r="D60" s="2" t="s">
        <v>14</v>
      </c>
      <c r="E60" s="2" t="n">
        <v>2</v>
      </c>
      <c r="F60" s="2" t="n">
        <v>2</v>
      </c>
      <c r="G60" s="2" t="n">
        <v>2</v>
      </c>
      <c r="H60" s="2" t="n">
        <v>2</v>
      </c>
      <c r="I60" s="2" t="n">
        <v>2</v>
      </c>
      <c r="J60" s="2" t="n">
        <f aca="false">SUM(E60:I60)</f>
        <v>10</v>
      </c>
      <c r="K60" s="2" t="str">
        <f aca="false">IF(J60&gt;=9,"High",IF(J60&gt;=6,"Moderate","Low"))</f>
        <v>High</v>
      </c>
      <c r="L60" s="2" t="str">
        <f aca="false">IF(AND(E60&gt;=1,F60&gt;=1),"Pass","FAIL-EXCLUDE")</f>
        <v>Pass</v>
      </c>
    </row>
    <row r="61" customFormat="false" ht="55.2" hidden="false" customHeight="false" outlineLevel="0" collapsed="false">
      <c r="A61" s="2" t="n">
        <v>60</v>
      </c>
      <c r="B61" s="3" t="s">
        <v>80</v>
      </c>
      <c r="C61" s="2" t="s">
        <v>16</v>
      </c>
      <c r="D61" s="2" t="s">
        <v>14</v>
      </c>
      <c r="E61" s="2" t="n">
        <v>2</v>
      </c>
      <c r="F61" s="2" t="n">
        <v>2</v>
      </c>
      <c r="G61" s="2" t="n">
        <v>2</v>
      </c>
      <c r="H61" s="2" t="n">
        <v>2</v>
      </c>
      <c r="I61" s="2" t="n">
        <v>2</v>
      </c>
      <c r="J61" s="2" t="n">
        <f aca="false">SUM(E61:I61)</f>
        <v>10</v>
      </c>
      <c r="K61" s="2" t="str">
        <f aca="false">IF(J61&gt;=9,"High",IF(J61&gt;=6,"Moderate","Low"))</f>
        <v>High</v>
      </c>
      <c r="L61" s="2" t="str">
        <f aca="false">IF(AND(E61&gt;=1,F61&gt;=1),"Pass","FAIL-EXCLUDE")</f>
        <v>Pass</v>
      </c>
    </row>
    <row r="62" customFormat="false" ht="41.75" hidden="false" customHeight="false" outlineLevel="0" collapsed="false">
      <c r="A62" s="2" t="n">
        <v>61</v>
      </c>
      <c r="B62" s="3" t="s">
        <v>81</v>
      </c>
      <c r="C62" s="2" t="s">
        <v>16</v>
      </c>
      <c r="D62" s="2" t="s">
        <v>14</v>
      </c>
      <c r="E62" s="2" t="n">
        <v>2</v>
      </c>
      <c r="F62" s="2" t="n">
        <v>2</v>
      </c>
      <c r="G62" s="2" t="n">
        <v>2</v>
      </c>
      <c r="H62" s="2" t="n">
        <v>2</v>
      </c>
      <c r="I62" s="2" t="n">
        <v>2</v>
      </c>
      <c r="J62" s="2" t="n">
        <f aca="false">SUM(E62:I62)</f>
        <v>10</v>
      </c>
      <c r="K62" s="2" t="str">
        <f aca="false">IF(J62&gt;=9,"High",IF(J62&gt;=6,"Moderate","Low"))</f>
        <v>High</v>
      </c>
      <c r="L62" s="2" t="str">
        <f aca="false">IF(AND(E62&gt;=1,F62&gt;=1),"Pass","FAIL-EXCLUDE")</f>
        <v>Pass</v>
      </c>
    </row>
    <row r="63" customFormat="false" ht="55.2" hidden="false" customHeight="false" outlineLevel="0" collapsed="false">
      <c r="A63" s="2" t="n">
        <v>62</v>
      </c>
      <c r="B63" s="3" t="s">
        <v>82</v>
      </c>
      <c r="C63" s="2" t="s">
        <v>18</v>
      </c>
      <c r="D63" s="2" t="s">
        <v>19</v>
      </c>
      <c r="E63" s="2" t="n">
        <v>2</v>
      </c>
      <c r="F63" s="2" t="n">
        <v>1</v>
      </c>
      <c r="G63" s="2" t="n">
        <v>1</v>
      </c>
      <c r="H63" s="2" t="n">
        <v>2</v>
      </c>
      <c r="I63" s="2" t="n">
        <v>2</v>
      </c>
      <c r="J63" s="2" t="n">
        <f aca="false">SUM(E63:I63)</f>
        <v>8</v>
      </c>
      <c r="K63" s="2" t="str">
        <f aca="false">IF(J63&gt;=9,"High",IF(J63&gt;=6,"Moderate","Low"))</f>
        <v>Moderate</v>
      </c>
      <c r="L63" s="2" t="str">
        <f aca="false">IF(AND(E63&gt;=1,F63&gt;=1),"Pass","FAIL-EXCLUDE")</f>
        <v>Pass</v>
      </c>
    </row>
    <row r="64" customFormat="false" ht="41.75" hidden="false" customHeight="false" outlineLevel="0" collapsed="false">
      <c r="A64" s="2" t="n">
        <v>63</v>
      </c>
      <c r="B64" s="3" t="s">
        <v>83</v>
      </c>
      <c r="C64" s="2" t="s">
        <v>18</v>
      </c>
      <c r="D64" s="2" t="s">
        <v>19</v>
      </c>
      <c r="E64" s="2" t="n">
        <v>2</v>
      </c>
      <c r="F64" s="2" t="n">
        <v>1</v>
      </c>
      <c r="G64" s="2" t="n">
        <v>1</v>
      </c>
      <c r="H64" s="2" t="n">
        <v>2</v>
      </c>
      <c r="I64" s="2" t="n">
        <v>2</v>
      </c>
      <c r="J64" s="2" t="n">
        <f aca="false">SUM(E64:I64)</f>
        <v>8</v>
      </c>
      <c r="K64" s="2" t="str">
        <f aca="false">IF(J64&gt;=9,"High",IF(J64&gt;=6,"Moderate","Low"))</f>
        <v>Moderate</v>
      </c>
      <c r="L64" s="2" t="str">
        <f aca="false">IF(AND(E64&gt;=1,F64&gt;=1),"Pass","FAIL-EXCLUDE")</f>
        <v>Pass</v>
      </c>
    </row>
    <row r="65" customFormat="false" ht="41.75" hidden="false" customHeight="false" outlineLevel="0" collapsed="false">
      <c r="A65" s="2" t="n">
        <v>64</v>
      </c>
      <c r="B65" s="3" t="s">
        <v>84</v>
      </c>
      <c r="C65" s="2" t="s">
        <v>16</v>
      </c>
      <c r="D65" s="2" t="s">
        <v>14</v>
      </c>
      <c r="E65" s="2" t="n">
        <v>2</v>
      </c>
      <c r="F65" s="2" t="n">
        <v>2</v>
      </c>
      <c r="G65" s="2" t="n">
        <v>2</v>
      </c>
      <c r="H65" s="2" t="n">
        <v>2</v>
      </c>
      <c r="I65" s="2" t="n">
        <v>1</v>
      </c>
      <c r="J65" s="2" t="n">
        <f aca="false">SUM(E65:I65)</f>
        <v>9</v>
      </c>
      <c r="K65" s="2" t="str">
        <f aca="false">IF(J65&gt;=9,"High",IF(J65&gt;=6,"Moderate","Low"))</f>
        <v>High</v>
      </c>
      <c r="L65" s="2" t="str">
        <f aca="false">IF(AND(E65&gt;=1,F65&gt;=1),"Pass","FAIL-EXCLUDE")</f>
        <v>Pass</v>
      </c>
    </row>
    <row r="66" customFormat="false" ht="55.2" hidden="false" customHeight="false" outlineLevel="0" collapsed="false">
      <c r="A66" s="2" t="n">
        <v>65</v>
      </c>
      <c r="B66" s="3" t="s">
        <v>85</v>
      </c>
      <c r="C66" s="2" t="s">
        <v>86</v>
      </c>
      <c r="D66" s="2" t="s">
        <v>19</v>
      </c>
      <c r="E66" s="2" t="n">
        <v>2</v>
      </c>
      <c r="F66" s="2" t="n">
        <v>1</v>
      </c>
      <c r="G66" s="2" t="n">
        <v>0</v>
      </c>
      <c r="H66" s="2" t="n">
        <v>1</v>
      </c>
      <c r="I66" s="2" t="n">
        <v>2</v>
      </c>
      <c r="J66" s="2" t="n">
        <f aca="false">SUM(E66:I66)</f>
        <v>6</v>
      </c>
      <c r="K66" s="2" t="str">
        <f aca="false">IF(J66&gt;=9,"High",IF(J66&gt;=6,"Moderate","Low"))</f>
        <v>Moderate</v>
      </c>
      <c r="L66" s="2" t="str">
        <f aca="false">IF(AND(E66&gt;=1,F66&gt;=1),"Pass","FAIL-EXCLUDE")</f>
        <v>Pass</v>
      </c>
    </row>
    <row r="67" customFormat="false" ht="55.2" hidden="false" customHeight="false" outlineLevel="0" collapsed="false">
      <c r="A67" s="2" t="n">
        <v>66</v>
      </c>
      <c r="B67" s="3" t="s">
        <v>87</v>
      </c>
      <c r="C67" s="2" t="s">
        <v>18</v>
      </c>
      <c r="D67" s="2" t="s">
        <v>19</v>
      </c>
      <c r="E67" s="2" t="n">
        <v>2</v>
      </c>
      <c r="F67" s="2" t="n">
        <v>1</v>
      </c>
      <c r="G67" s="2" t="n">
        <v>0</v>
      </c>
      <c r="H67" s="2" t="n">
        <v>1</v>
      </c>
      <c r="I67" s="2" t="n">
        <v>2</v>
      </c>
      <c r="J67" s="2" t="n">
        <f aca="false">SUM(E67:I67)</f>
        <v>6</v>
      </c>
      <c r="K67" s="2" t="str">
        <f aca="false">IF(J67&gt;=9,"High",IF(J67&gt;=6,"Moderate","Low"))</f>
        <v>Moderate</v>
      </c>
      <c r="L67" s="2" t="str">
        <f aca="false">IF(AND(E67&gt;=1,F67&gt;=1),"Pass","FAIL-EXCLUDE")</f>
        <v>Pass</v>
      </c>
    </row>
    <row r="68" customFormat="false" ht="55.2" hidden="false" customHeight="false" outlineLevel="0" collapsed="false">
      <c r="A68" s="2" t="n">
        <v>67</v>
      </c>
      <c r="B68" s="3" t="s">
        <v>88</v>
      </c>
      <c r="C68" s="2" t="s">
        <v>25</v>
      </c>
      <c r="D68" s="2" t="s">
        <v>14</v>
      </c>
      <c r="E68" s="2" t="n">
        <v>2</v>
      </c>
      <c r="F68" s="2" t="n">
        <v>2</v>
      </c>
      <c r="G68" s="2" t="n">
        <v>1</v>
      </c>
      <c r="H68" s="2" t="n">
        <v>1</v>
      </c>
      <c r="I68" s="2" t="n">
        <v>2</v>
      </c>
      <c r="J68" s="2" t="n">
        <f aca="false">SUM(E68:I68)</f>
        <v>8</v>
      </c>
      <c r="K68" s="2" t="str">
        <f aca="false">IF(J68&gt;=9,"High",IF(J68&gt;=6,"Moderate","Low"))</f>
        <v>Moderate</v>
      </c>
      <c r="L68" s="2" t="str">
        <f aca="false">IF(AND(E68&gt;=1,F68&gt;=1),"Pass","FAIL-EXCLUDE")</f>
        <v>Pass</v>
      </c>
    </row>
    <row r="69" customFormat="false" ht="41.75" hidden="false" customHeight="false" outlineLevel="0" collapsed="false">
      <c r="A69" s="2" t="n">
        <v>68</v>
      </c>
      <c r="B69" s="3" t="s">
        <v>89</v>
      </c>
      <c r="C69" s="2" t="s">
        <v>25</v>
      </c>
      <c r="D69" s="2" t="s">
        <v>14</v>
      </c>
      <c r="E69" s="2" t="n">
        <v>2</v>
      </c>
      <c r="F69" s="2" t="n">
        <v>1</v>
      </c>
      <c r="G69" s="2" t="n">
        <v>0</v>
      </c>
      <c r="H69" s="2" t="n">
        <v>1</v>
      </c>
      <c r="I69" s="2" t="n">
        <v>1</v>
      </c>
      <c r="J69" s="2" t="n">
        <f aca="false">SUM(E69:I69)</f>
        <v>5</v>
      </c>
      <c r="K69" s="2" t="str">
        <f aca="false">IF(J69&gt;=9,"High",IF(J69&gt;=6,"Moderate","Low"))</f>
        <v>Low</v>
      </c>
      <c r="L69" s="2" t="str">
        <f aca="false">IF(AND(E69&gt;=1,F69&gt;=1),"Pass","FAIL-EXCLUDE")</f>
        <v>Pass</v>
      </c>
    </row>
    <row r="70" customFormat="false" ht="55.2" hidden="false" customHeight="false" outlineLevel="0" collapsed="false">
      <c r="A70" s="2" t="n">
        <v>69</v>
      </c>
      <c r="B70" s="3" t="s">
        <v>90</v>
      </c>
      <c r="C70" s="2" t="s">
        <v>28</v>
      </c>
      <c r="D70" s="2" t="s">
        <v>19</v>
      </c>
      <c r="E70" s="2" t="n">
        <v>2</v>
      </c>
      <c r="F70" s="2" t="n">
        <v>1</v>
      </c>
      <c r="G70" s="2" t="n">
        <v>1</v>
      </c>
      <c r="H70" s="2" t="n">
        <v>2</v>
      </c>
      <c r="I70" s="2" t="n">
        <v>2</v>
      </c>
      <c r="J70" s="2" t="n">
        <f aca="false">SUM(E70:I70)</f>
        <v>8</v>
      </c>
      <c r="K70" s="2" t="str">
        <f aca="false">IF(J70&gt;=9,"High",IF(J70&gt;=6,"Moderate","Low"))</f>
        <v>Moderate</v>
      </c>
      <c r="L70" s="2" t="str">
        <f aca="false">IF(AND(E70&gt;=1,F70&gt;=1),"Pass","FAIL-EXCLUDE")</f>
        <v>Pass</v>
      </c>
    </row>
    <row r="71" customFormat="false" ht="28.35" hidden="false" customHeight="false" outlineLevel="0" collapsed="false">
      <c r="A71" s="2" t="n">
        <v>70</v>
      </c>
      <c r="B71" s="3" t="s">
        <v>91</v>
      </c>
      <c r="C71" s="2" t="s">
        <v>16</v>
      </c>
      <c r="D71" s="2" t="s">
        <v>14</v>
      </c>
      <c r="E71" s="2" t="n">
        <v>2</v>
      </c>
      <c r="F71" s="2" t="n">
        <v>2</v>
      </c>
      <c r="G71" s="2" t="n">
        <v>2</v>
      </c>
      <c r="H71" s="2" t="n">
        <v>2</v>
      </c>
      <c r="I71" s="2" t="n">
        <v>2</v>
      </c>
      <c r="J71" s="2" t="n">
        <f aca="false">SUM(E71:I71)</f>
        <v>10</v>
      </c>
      <c r="K71" s="2" t="str">
        <f aca="false">IF(J71&gt;=9,"High",IF(J71&gt;=6,"Moderate","Low"))</f>
        <v>High</v>
      </c>
      <c r="L71" s="2" t="str">
        <f aca="false">IF(AND(E71&gt;=1,F71&gt;=1),"Pass","FAIL-EXCLUDE")</f>
        <v>Pass</v>
      </c>
    </row>
    <row r="72" customFormat="false" ht="55.2" hidden="false" customHeight="false" outlineLevel="0" collapsed="false">
      <c r="A72" s="2" t="n">
        <v>71</v>
      </c>
      <c r="B72" s="3" t="s">
        <v>92</v>
      </c>
      <c r="C72" s="2" t="s">
        <v>25</v>
      </c>
      <c r="D72" s="2" t="s">
        <v>14</v>
      </c>
      <c r="E72" s="2" t="n">
        <v>2</v>
      </c>
      <c r="F72" s="2" t="n">
        <v>2</v>
      </c>
      <c r="G72" s="2" t="n">
        <v>1</v>
      </c>
      <c r="H72" s="2" t="n">
        <v>2</v>
      </c>
      <c r="I72" s="2" t="n">
        <v>2</v>
      </c>
      <c r="J72" s="2" t="n">
        <f aca="false">SUM(E72:I72)</f>
        <v>9</v>
      </c>
      <c r="K72" s="2" t="str">
        <f aca="false">IF(J72&gt;=9,"High",IF(J72&gt;=6,"Moderate","Low"))</f>
        <v>High</v>
      </c>
      <c r="L72" s="2" t="str">
        <f aca="false">IF(AND(E72&gt;=1,F72&gt;=1),"Pass","FAIL-EXCLUDE")</f>
        <v>Pass</v>
      </c>
    </row>
    <row r="73" customFormat="false" ht="55.2" hidden="false" customHeight="false" outlineLevel="0" collapsed="false">
      <c r="A73" s="2" t="n">
        <v>72</v>
      </c>
      <c r="B73" s="3" t="s">
        <v>93</v>
      </c>
      <c r="C73" s="2" t="s">
        <v>18</v>
      </c>
      <c r="D73" s="2" t="s">
        <v>19</v>
      </c>
      <c r="E73" s="2" t="n">
        <v>2</v>
      </c>
      <c r="F73" s="2" t="n">
        <v>1</v>
      </c>
      <c r="G73" s="2" t="n">
        <v>1</v>
      </c>
      <c r="H73" s="2" t="n">
        <v>2</v>
      </c>
      <c r="I73" s="2" t="n">
        <v>2</v>
      </c>
      <c r="J73" s="2" t="n">
        <f aca="false">SUM(E73:I73)</f>
        <v>8</v>
      </c>
      <c r="K73" s="2" t="str">
        <f aca="false">IF(J73&gt;=9,"High",IF(J73&gt;=6,"Moderate","Low"))</f>
        <v>Moderate</v>
      </c>
      <c r="L73" s="2" t="str">
        <f aca="false">IF(AND(E73&gt;=1,F73&gt;=1),"Pass","FAIL-EXCLUDE")</f>
        <v>Pass</v>
      </c>
    </row>
    <row r="74" customFormat="false" ht="41.75" hidden="false" customHeight="false" outlineLevel="0" collapsed="false">
      <c r="A74" s="2" t="n">
        <v>73</v>
      </c>
      <c r="B74" s="3" t="s">
        <v>94</v>
      </c>
      <c r="C74" s="2" t="s">
        <v>25</v>
      </c>
      <c r="D74" s="2" t="s">
        <v>14</v>
      </c>
      <c r="E74" s="2" t="n">
        <v>2</v>
      </c>
      <c r="F74" s="2" t="n">
        <v>2</v>
      </c>
      <c r="G74" s="2" t="n">
        <v>1</v>
      </c>
      <c r="H74" s="2" t="n">
        <v>1</v>
      </c>
      <c r="I74" s="2" t="n">
        <v>2</v>
      </c>
      <c r="J74" s="2" t="n">
        <f aca="false">SUM(E74:I74)</f>
        <v>8</v>
      </c>
      <c r="K74" s="2" t="str">
        <f aca="false">IF(J74&gt;=9,"High",IF(J74&gt;=6,"Moderate","Low"))</f>
        <v>Moderate</v>
      </c>
      <c r="L74" s="2" t="str">
        <f aca="false">IF(AND(E74&gt;=1,F74&gt;=1),"Pass","FAIL-EXCLUDE")</f>
        <v>Pass</v>
      </c>
    </row>
    <row r="75" customFormat="false" ht="55.2" hidden="false" customHeight="false" outlineLevel="0" collapsed="false">
      <c r="A75" s="2" t="n">
        <v>74</v>
      </c>
      <c r="B75" s="3" t="s">
        <v>95</v>
      </c>
      <c r="C75" s="2" t="s">
        <v>16</v>
      </c>
      <c r="D75" s="2" t="s">
        <v>14</v>
      </c>
      <c r="E75" s="2" t="n">
        <v>2</v>
      </c>
      <c r="F75" s="2" t="n">
        <v>2</v>
      </c>
      <c r="G75" s="2" t="n">
        <v>2</v>
      </c>
      <c r="H75" s="2" t="n">
        <v>2</v>
      </c>
      <c r="I75" s="2" t="n">
        <v>2</v>
      </c>
      <c r="J75" s="2" t="n">
        <f aca="false">SUM(E75:I75)</f>
        <v>10</v>
      </c>
      <c r="K75" s="2" t="str">
        <f aca="false">IF(J75&gt;=9,"High",IF(J75&gt;=6,"Moderate","Low"))</f>
        <v>High</v>
      </c>
      <c r="L75" s="2" t="str">
        <f aca="false">IF(AND(E75&gt;=1,F75&gt;=1),"Pass","FAIL-EXCLUDE")</f>
        <v>Pass</v>
      </c>
    </row>
    <row r="76" customFormat="false" ht="41.75" hidden="false" customHeight="false" outlineLevel="0" collapsed="false">
      <c r="A76" s="2" t="n">
        <v>75</v>
      </c>
      <c r="B76" s="3" t="s">
        <v>96</v>
      </c>
      <c r="C76" s="2" t="s">
        <v>16</v>
      </c>
      <c r="D76" s="2" t="s">
        <v>14</v>
      </c>
      <c r="E76" s="2" t="n">
        <v>2</v>
      </c>
      <c r="F76" s="2" t="n">
        <v>2</v>
      </c>
      <c r="G76" s="2" t="n">
        <v>2</v>
      </c>
      <c r="H76" s="2" t="n">
        <v>2</v>
      </c>
      <c r="I76" s="2" t="n">
        <v>1</v>
      </c>
      <c r="J76" s="2" t="n">
        <f aca="false">SUM(E76:I76)</f>
        <v>9</v>
      </c>
      <c r="K76" s="2" t="str">
        <f aca="false">IF(J76&gt;=9,"High",IF(J76&gt;=6,"Moderate","Low"))</f>
        <v>High</v>
      </c>
      <c r="L76" s="2" t="str">
        <f aca="false">IF(AND(E76&gt;=1,F76&gt;=1),"Pass","FAIL-EXCLUDE")</f>
        <v>Pass</v>
      </c>
    </row>
    <row r="77" customFormat="false" ht="68.65" hidden="false" customHeight="false" outlineLevel="0" collapsed="false">
      <c r="A77" s="2" t="n">
        <v>76</v>
      </c>
      <c r="B77" s="3" t="s">
        <v>97</v>
      </c>
      <c r="C77" s="2" t="s">
        <v>16</v>
      </c>
      <c r="D77" s="2" t="s">
        <v>14</v>
      </c>
      <c r="E77" s="2" t="n">
        <v>2</v>
      </c>
      <c r="F77" s="2" t="n">
        <v>2</v>
      </c>
      <c r="G77" s="2" t="n">
        <v>2</v>
      </c>
      <c r="H77" s="2" t="n">
        <v>2</v>
      </c>
      <c r="I77" s="2" t="n">
        <v>1</v>
      </c>
      <c r="J77" s="2" t="n">
        <f aca="false">SUM(E77:I77)</f>
        <v>9</v>
      </c>
      <c r="K77" s="2" t="str">
        <f aca="false">IF(J77&gt;=9,"High",IF(J77&gt;=6,"Moderate","Low"))</f>
        <v>High</v>
      </c>
      <c r="L77" s="2" t="str">
        <f aca="false">IF(AND(E77&gt;=1,F77&gt;=1),"Pass","FAIL-EXCLUDE")</f>
        <v>Pass</v>
      </c>
    </row>
    <row r="78" customFormat="false" ht="55.2" hidden="false" customHeight="false" outlineLevel="0" collapsed="false">
      <c r="A78" s="2" t="n">
        <v>77</v>
      </c>
      <c r="B78" s="3" t="s">
        <v>98</v>
      </c>
      <c r="C78" s="2" t="s">
        <v>16</v>
      </c>
      <c r="D78" s="2" t="s">
        <v>14</v>
      </c>
      <c r="E78" s="2" t="n">
        <v>2</v>
      </c>
      <c r="F78" s="2" t="n">
        <v>2</v>
      </c>
      <c r="G78" s="2" t="n">
        <v>2</v>
      </c>
      <c r="H78" s="2" t="n">
        <v>2</v>
      </c>
      <c r="I78" s="2" t="n">
        <v>1</v>
      </c>
      <c r="J78" s="2" t="n">
        <f aca="false">SUM(E78:I78)</f>
        <v>9</v>
      </c>
      <c r="K78" s="2" t="str">
        <f aca="false">IF(J78&gt;=9,"High",IF(J78&gt;=6,"Moderate","Low"))</f>
        <v>High</v>
      </c>
      <c r="L78" s="2" t="str">
        <f aca="false">IF(AND(E78&gt;=1,F78&gt;=1),"Pass","FAIL-EXCLUDE")</f>
        <v>Pass</v>
      </c>
    </row>
    <row r="79" customFormat="false" ht="55.2" hidden="false" customHeight="false" outlineLevel="0" collapsed="false">
      <c r="A79" s="2" t="n">
        <v>78</v>
      </c>
      <c r="B79" s="3" t="s">
        <v>99</v>
      </c>
      <c r="C79" s="2" t="s">
        <v>18</v>
      </c>
      <c r="D79" s="2" t="s">
        <v>19</v>
      </c>
      <c r="E79" s="2" t="n">
        <v>2</v>
      </c>
      <c r="F79" s="2" t="n">
        <v>1</v>
      </c>
      <c r="G79" s="2" t="n">
        <v>1</v>
      </c>
      <c r="H79" s="2" t="n">
        <v>2</v>
      </c>
      <c r="I79" s="2" t="n">
        <v>2</v>
      </c>
      <c r="J79" s="2" t="n">
        <f aca="false">SUM(E79:I79)</f>
        <v>8</v>
      </c>
      <c r="K79" s="2" t="str">
        <f aca="false">IF(J79&gt;=9,"High",IF(J79&gt;=6,"Moderate","Low"))</f>
        <v>Moderate</v>
      </c>
      <c r="L79" s="2" t="str">
        <f aca="false">IF(AND(E79&gt;=1,F79&gt;=1),"Pass","FAIL-EXCLUDE")</f>
        <v>Pass</v>
      </c>
    </row>
    <row r="80" customFormat="false" ht="55.2" hidden="false" customHeight="false" outlineLevel="0" collapsed="false">
      <c r="A80" s="2" t="n">
        <v>79</v>
      </c>
      <c r="B80" s="3" t="s">
        <v>100</v>
      </c>
      <c r="C80" s="2" t="s">
        <v>16</v>
      </c>
      <c r="D80" s="2" t="s">
        <v>14</v>
      </c>
      <c r="E80" s="2" t="n">
        <v>2</v>
      </c>
      <c r="F80" s="2" t="n">
        <v>2</v>
      </c>
      <c r="G80" s="2" t="n">
        <v>2</v>
      </c>
      <c r="H80" s="2" t="n">
        <v>2</v>
      </c>
      <c r="I80" s="2" t="n">
        <v>2</v>
      </c>
      <c r="J80" s="2" t="n">
        <f aca="false">SUM(E80:I80)</f>
        <v>10</v>
      </c>
      <c r="K80" s="2" t="str">
        <f aca="false">IF(J80&gt;=9,"High",IF(J80&gt;=6,"Moderate","Low"))</f>
        <v>High</v>
      </c>
      <c r="L80" s="2" t="str">
        <f aca="false">IF(AND(E80&gt;=1,F80&gt;=1),"Pass","FAIL-EXCLUDE")</f>
        <v>Pass</v>
      </c>
    </row>
    <row r="81" customFormat="false" ht="55.2" hidden="false" customHeight="false" outlineLevel="0" collapsed="false">
      <c r="A81" s="2" t="n">
        <v>80</v>
      </c>
      <c r="B81" s="3" t="s">
        <v>101</v>
      </c>
      <c r="C81" s="2" t="s">
        <v>16</v>
      </c>
      <c r="D81" s="2" t="s">
        <v>14</v>
      </c>
      <c r="E81" s="2" t="n">
        <v>2</v>
      </c>
      <c r="F81" s="2" t="n">
        <v>2</v>
      </c>
      <c r="G81" s="2" t="n">
        <v>2</v>
      </c>
      <c r="H81" s="2" t="n">
        <v>2</v>
      </c>
      <c r="I81" s="2" t="n">
        <v>2</v>
      </c>
      <c r="J81" s="2" t="n">
        <f aca="false">SUM(E81:I81)</f>
        <v>10</v>
      </c>
      <c r="K81" s="2" t="str">
        <f aca="false">IF(J81&gt;=9,"High",IF(J81&gt;=6,"Moderate","Low"))</f>
        <v>High</v>
      </c>
      <c r="L81" s="2" t="str">
        <f aca="false">IF(AND(E81&gt;=1,F81&gt;=1),"Pass","FAIL-EXCLUDE")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4" t="s">
        <v>10</v>
      </c>
      <c r="B1" s="4" t="s">
        <v>102</v>
      </c>
      <c r="C1" s="4" t="s">
        <v>103</v>
      </c>
    </row>
    <row r="2" customFormat="false" ht="15" hidden="false" customHeight="false" outlineLevel="0" collapsed="false">
      <c r="A2" s="0" t="s">
        <v>104</v>
      </c>
      <c r="B2" s="0" t="n">
        <f aca="false">COUNTIF('Quality Scores'!K2:K81,"High")</f>
        <v>32</v>
      </c>
      <c r="C2" s="5" t="n">
        <f aca="false">B2/80</f>
        <v>0.4</v>
      </c>
    </row>
    <row r="3" customFormat="false" ht="15" hidden="false" customHeight="false" outlineLevel="0" collapsed="false">
      <c r="A3" s="0" t="s">
        <v>105</v>
      </c>
      <c r="B3" s="0" t="n">
        <f aca="false">COUNTIF('Quality Scores'!K2:K81,"Moderate")</f>
        <v>44</v>
      </c>
      <c r="C3" s="5" t="n">
        <f aca="false">B3/80</f>
        <v>0.55</v>
      </c>
    </row>
    <row r="4" customFormat="false" ht="15" hidden="false" customHeight="false" outlineLevel="0" collapsed="false">
      <c r="A4" s="0" t="s">
        <v>106</v>
      </c>
      <c r="B4" s="0" t="n">
        <f aca="false">COUNTIF('Quality Scores'!K2:K81,"Low")</f>
        <v>4</v>
      </c>
      <c r="C4" s="5" t="n">
        <f aca="false">B4/80</f>
        <v>0.05</v>
      </c>
    </row>
    <row r="5" customFormat="false" ht="15" hidden="false" customHeight="false" outlineLevel="0" collapsed="false">
      <c r="A5" s="6" t="s">
        <v>107</v>
      </c>
      <c r="B5" s="6" t="n">
        <f aca="false">SUM(B2:B4)</f>
        <v>80</v>
      </c>
      <c r="C5" s="7" t="n">
        <f aca="false">SUM(C2:C4)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2026-06-29T19:13:23Z</dcterms:created>
  <dc:creator>openpyxl</dc:creator>
  <dc:description/>
  <dc:language>en-US</dc:language>
  <cp:lastModifiedBy/>
  <dcterms:modified xsi:type="dcterms:W3CDTF">2026-06-29T19:13:23Z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